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macos/Downloads/"/>
    </mc:Choice>
  </mc:AlternateContent>
  <xr:revisionPtr revIDLastSave="0" documentId="13_ncr:1_{FA35F24D-4BC6-C241-B1FF-75738CC716EC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Sprint2" sheetId="9" r:id="rId1"/>
    <sheet name="Sprint 3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6" i="9" l="1"/>
  <c r="D105" i="9"/>
  <c r="E105" i="9"/>
  <c r="F105" i="9"/>
  <c r="G105" i="9"/>
  <c r="H105" i="9"/>
  <c r="I105" i="9"/>
  <c r="J105" i="9"/>
  <c r="K105" i="9"/>
  <c r="L105" i="9"/>
  <c r="M105" i="9"/>
  <c r="N105" i="9"/>
  <c r="O105" i="9"/>
  <c r="P105" i="9"/>
  <c r="Q105" i="9"/>
  <c r="R105" i="9"/>
  <c r="S105" i="9"/>
  <c r="D106" i="9"/>
  <c r="E106" i="9"/>
  <c r="F106" i="9"/>
  <c r="G106" i="9"/>
  <c r="H106" i="9"/>
  <c r="I106" i="9"/>
  <c r="J106" i="9"/>
  <c r="K106" i="9"/>
  <c r="L106" i="9"/>
  <c r="M106" i="9"/>
  <c r="N106" i="9"/>
  <c r="O106" i="9"/>
  <c r="P106" i="9"/>
  <c r="Q106" i="9"/>
  <c r="R106" i="9"/>
  <c r="D56" i="9"/>
  <c r="E56" i="9"/>
  <c r="F56" i="9"/>
  <c r="G56" i="9"/>
  <c r="H56" i="9"/>
  <c r="I56" i="9"/>
  <c r="J56" i="9"/>
  <c r="K56" i="9"/>
  <c r="L56" i="9"/>
  <c r="M56" i="9"/>
  <c r="N56" i="9"/>
  <c r="O56" i="9"/>
  <c r="P56" i="9"/>
  <c r="Q56" i="9"/>
  <c r="R56" i="9"/>
  <c r="S56" i="9"/>
  <c r="T56" i="9"/>
  <c r="D99" i="9"/>
  <c r="E99" i="9"/>
  <c r="F99" i="9"/>
  <c r="G99" i="9"/>
  <c r="H99" i="9"/>
  <c r="I99" i="9"/>
  <c r="J99" i="9"/>
  <c r="K99" i="9"/>
  <c r="L99" i="9"/>
  <c r="M99" i="9"/>
  <c r="N99" i="9"/>
  <c r="O99" i="9"/>
  <c r="P99" i="9"/>
  <c r="Q99" i="9"/>
  <c r="R99" i="9"/>
  <c r="S99" i="9"/>
  <c r="T99" i="9"/>
  <c r="S82" i="7"/>
  <c r="R82" i="7"/>
  <c r="Q82" i="7"/>
  <c r="P82" i="7"/>
  <c r="S46" i="7"/>
  <c r="R46" i="7"/>
  <c r="O82" i="7"/>
  <c r="N82" i="7"/>
  <c r="M82" i="7"/>
  <c r="L82" i="7"/>
  <c r="K82" i="7"/>
  <c r="J82" i="7"/>
  <c r="I82" i="7"/>
  <c r="H82" i="7"/>
  <c r="G82" i="7"/>
  <c r="F82" i="7"/>
  <c r="E82" i="7"/>
  <c r="D82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</calcChain>
</file>

<file path=xl/sharedStrings.xml><?xml version="1.0" encoding="utf-8"?>
<sst xmlns="http://schemas.openxmlformats.org/spreadsheetml/2006/main" count="370" uniqueCount="88">
  <si>
    <t>Hoàng Kim Hùng</t>
  </si>
  <si>
    <t>Mai Thị Thanh Huyền</t>
  </si>
  <si>
    <t>Lê Trung Tiến</t>
  </si>
  <si>
    <t>Phạm Minh Tuấn</t>
  </si>
  <si>
    <t>Tên dự án:</t>
  </si>
  <si>
    <t>Xây dựng Phần mềm Quản lý Quán Café</t>
  </si>
  <si>
    <t>Tên module:</t>
  </si>
  <si>
    <t>Sprint 3</t>
  </si>
  <si>
    <t>Ngày bắt đầu</t>
  </si>
  <si>
    <t>01 - thg 11 - 2025</t>
  </si>
  <si>
    <t>Ngày kết thúc:</t>
  </si>
  <si>
    <t>STT</t>
  </si>
  <si>
    <t>Tên thành viên</t>
  </si>
  <si>
    <t>Ước tính</t>
  </si>
  <si>
    <t>Kết thúc nhiệm vụ</t>
  </si>
  <si>
    <t>Chậm tiến độ</t>
  </si>
  <si>
    <t>Trước thời hạn</t>
  </si>
  <si>
    <t>Tên nhiệm vụ</t>
  </si>
  <si>
    <t>Thực tế</t>
  </si>
  <si>
    <t>Ngày</t>
  </si>
  <si>
    <t xml:space="preserve">Uớc tính </t>
  </si>
  <si>
    <t>Thời gian ước tính</t>
  </si>
  <si>
    <t>BÁO CÁO SPRINT 3</t>
  </si>
  <si>
    <t>Lâm Thị Thùy Dung</t>
  </si>
  <si>
    <t>Thành phần</t>
  </si>
  <si>
    <t>Người phụ trách</t>
  </si>
  <si>
    <t>Meeting Sprint 2</t>
  </si>
  <si>
    <t>Tạo Sprint Backlog</t>
  </si>
  <si>
    <t>Tạo và kịch bản test sprint 3</t>
  </si>
  <si>
    <t>Thiết kế giao diện</t>
  </si>
  <si>
    <t xml:space="preserve">Quản lý đơn hàng (admin) </t>
  </si>
  <si>
    <t>Quản lý mã giảm giá</t>
  </si>
  <si>
    <t>Quản lý nguyên liệu</t>
  </si>
  <si>
    <t>Tất cả thành viên</t>
  </si>
  <si>
    <t>Tạo và kịch bản test sprint 2</t>
  </si>
  <si>
    <t>Quản lý sản phẩm</t>
  </si>
  <si>
    <t>Meeting Sprint 3</t>
  </si>
  <si>
    <t>Design Test case</t>
  </si>
  <si>
    <t>Review tất cả các test case</t>
  </si>
  <si>
    <t>Coding</t>
  </si>
  <si>
    <t>Testing</t>
  </si>
  <si>
    <t>Fixing bugs</t>
  </si>
  <si>
    <t>Re-testing</t>
  </si>
  <si>
    <t>Release Sprint 3</t>
  </si>
  <si>
    <t>Review Sprint 2</t>
  </si>
  <si>
    <t>Họp Sprint 2</t>
  </si>
  <si>
    <t>Review code</t>
  </si>
  <si>
    <t>Dung</t>
  </si>
  <si>
    <t xml:space="preserve">Hùng, Tuấn </t>
  </si>
  <si>
    <t>Tiến</t>
  </si>
  <si>
    <t>Huyền</t>
  </si>
  <si>
    <t>Dung, Huyền</t>
  </si>
  <si>
    <t>Huyền, Tiến</t>
  </si>
  <si>
    <t>Hùng</t>
  </si>
  <si>
    <t>Tiến,Tuấn</t>
  </si>
  <si>
    <t>Review Sprint 3</t>
  </si>
  <si>
    <t>Họp Sprint 3</t>
  </si>
  <si>
    <t>Tổng Ước tính</t>
  </si>
  <si>
    <t>BẢNG THEO DÕI CÔNG VIỆC THỰC TẾ</t>
  </si>
  <si>
    <t>Kế hoạch (h)</t>
  </si>
  <si>
    <t>Giờ làm thêm</t>
  </si>
  <si>
    <t>Trễ</t>
  </si>
  <si>
    <t>Tiến,Dung</t>
  </si>
  <si>
    <t>BẢNG TỔNG HỢP SPRINT 3</t>
  </si>
  <si>
    <t>Xây dựng Hệ Thống  Quản Lý Cà Café</t>
  </si>
  <si>
    <t>Sprint 2</t>
  </si>
  <si>
    <t>16 - thg 11 - 2025</t>
  </si>
  <si>
    <t>Hoàng Kinh Hùng</t>
  </si>
  <si>
    <t>Nguyễn Minh Tuấn</t>
  </si>
  <si>
    <t>BẢNG THEO DÕI CÔNG VIỆC ƯỚC TÍNH</t>
  </si>
  <si>
    <t>Ước tính (h)</t>
  </si>
  <si>
    <t>Tìm hiểu sản phẩm</t>
  </si>
  <si>
    <t>Tuấn, Tiến</t>
  </si>
  <si>
    <t>Xem chi tiết sản phẩm</t>
  </si>
  <si>
    <t>Mua sản phẩm</t>
  </si>
  <si>
    <t>Quản lý giỏ hàng</t>
  </si>
  <si>
    <t>Quản lý đơn hàng (user)</t>
  </si>
  <si>
    <t>Tìm kiếm sản phẩm</t>
  </si>
  <si>
    <t>Tuấn, Dung</t>
  </si>
  <si>
    <t>Tuấn, Huyền</t>
  </si>
  <si>
    <t>Tuấn</t>
  </si>
  <si>
    <t>Hùng, Dung</t>
  </si>
  <si>
    <t>Release Sprint 2</t>
  </si>
  <si>
    <t>Tổng</t>
  </si>
  <si>
    <t>01 - thg 12 - 2025</t>
  </si>
  <si>
    <t>BẢNG TỔNG HỢP SPRINT 2</t>
  </si>
  <si>
    <t>BÁO CÁO SPRINT 2</t>
  </si>
  <si>
    <t>17 - thg 11 - 2025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</si>
</sst>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4"/>
      <color theme="1"/>
      <name val="Times New Roman"/>
      <family val="1"/>
    </font>
    <font>
      <sz val="16"/>
      <color theme="1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sz val="16"/>
      <color theme="1"/>
      <name val="Calibri"/>
      <family val="2"/>
      <scheme val="minor"/>
    </font>
    <font>
      <b/>
      <sz val="18"/>
      <color rgb="FFFF0000"/>
      <name val="Cambria"/>
      <family val="1"/>
      <charset val="163"/>
      <scheme val="major"/>
    </font>
    <font>
      <sz val="13"/>
      <color theme="1"/>
      <name val="Times New Roman"/>
      <family val="1"/>
    </font>
    <font>
      <sz val="16"/>
      <color theme="1"/>
      <name val="Calibri"/>
      <family val="2"/>
    </font>
    <font>
      <sz val="16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16"/>
      <color theme="1"/>
      <name val="Calibri"/>
      <family val="2"/>
      <charset val="163"/>
      <scheme val="minor"/>
    </font>
    <font>
      <b/>
      <sz val="18"/>
      <color rgb="FFFF0000"/>
      <name val="Cambria"/>
      <family val="1"/>
      <scheme val="major"/>
    </font>
  </fonts>
  <fills count="22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8DB3E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BFBFBF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DD9C3"/>
        <bgColor rgb="FFDDD9C3"/>
      </patternFill>
    </fill>
    <fill>
      <patternFill patternType="solid">
        <fgColor rgb="FFFF3300"/>
        <bgColor rgb="FFFF3300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B7B7B7"/>
      </patternFill>
    </fill>
  </fills>
  <borders count="6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indexed="64"/>
      </bottom>
      <diagonal/>
    </border>
    <border>
      <left/>
      <right/>
      <top style="medium">
        <color rgb="FFCCCCCC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thin">
        <color rgb="FFB2B2B2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6" fillId="0" borderId="0"/>
    <xf numFmtId="0" fontId="16" fillId="14" borderId="0" applyNumberFormat="0" applyBorder="0" applyAlignment="0" applyProtection="0"/>
  </cellStyleXfs>
  <cellXfs count="147">
    <xf numFmtId="0" fontId="0" fillId="0" borderId="0" xfId="0"/>
    <xf numFmtId="0" fontId="7" fillId="0" borderId="2" xfId="0" applyFont="1" applyBorder="1" applyAlignment="1">
      <alignment vertical="top" wrapText="1"/>
    </xf>
    <xf numFmtId="0" fontId="2" fillId="0" borderId="17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top" wrapText="1"/>
    </xf>
    <xf numFmtId="0" fontId="4" fillId="0" borderId="20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top" wrapText="1"/>
    </xf>
    <xf numFmtId="0" fontId="7" fillId="16" borderId="1" xfId="0" applyFont="1" applyFill="1" applyBorder="1" applyAlignment="1">
      <alignment horizontal="center" vertical="center" wrapText="1"/>
    </xf>
    <xf numFmtId="0" fontId="7" fillId="2" borderId="1" xfId="1" applyFont="1" applyBorder="1" applyAlignment="1">
      <alignment horizontal="center"/>
    </xf>
    <xf numFmtId="0" fontId="10" fillId="2" borderId="1" xfId="1" applyFont="1" applyBorder="1" applyAlignment="1">
      <alignment horizontal="center"/>
    </xf>
    <xf numFmtId="0" fontId="7" fillId="3" borderId="1" xfId="2" applyFont="1" applyBorder="1" applyAlignment="1">
      <alignment horizontal="center"/>
    </xf>
    <xf numFmtId="0" fontId="7" fillId="15" borderId="1" xfId="2" applyFont="1" applyFill="1" applyBorder="1" applyAlignment="1">
      <alignment horizontal="center"/>
    </xf>
    <xf numFmtId="0" fontId="7" fillId="2" borderId="32" xfId="1" applyFont="1" applyBorder="1" applyAlignment="1">
      <alignment vertical="center"/>
    </xf>
    <xf numFmtId="0" fontId="7" fillId="2" borderId="31" xfId="1" applyFont="1" applyBorder="1" applyAlignment="1">
      <alignment horizontal="center"/>
    </xf>
    <xf numFmtId="0" fontId="7" fillId="16" borderId="11" xfId="0" applyFont="1" applyFill="1" applyBorder="1" applyAlignment="1">
      <alignment horizontal="center" vertical="center" wrapText="1"/>
    </xf>
    <xf numFmtId="0" fontId="10" fillId="2" borderId="11" xfId="1" applyFont="1" applyBorder="1" applyAlignment="1">
      <alignment horizontal="center"/>
    </xf>
    <xf numFmtId="0" fontId="7" fillId="3" borderId="11" xfId="2" applyFont="1" applyBorder="1" applyAlignment="1">
      <alignment horizontal="center"/>
    </xf>
    <xf numFmtId="0" fontId="7" fillId="15" borderId="11" xfId="2" applyFont="1" applyFill="1" applyBorder="1" applyAlignment="1">
      <alignment horizontal="center"/>
    </xf>
    <xf numFmtId="0" fontId="4" fillId="17" borderId="37" xfId="0" applyFont="1" applyFill="1" applyBorder="1" applyAlignment="1">
      <alignment horizontal="center" vertical="center" wrapText="1"/>
    </xf>
    <xf numFmtId="0" fontId="7" fillId="2" borderId="16" xfId="1" applyFont="1" applyBorder="1" applyAlignment="1">
      <alignment horizontal="center"/>
    </xf>
    <xf numFmtId="0" fontId="10" fillId="2" borderId="16" xfId="1" applyFont="1" applyBorder="1" applyAlignment="1">
      <alignment horizontal="center"/>
    </xf>
    <xf numFmtId="0" fontId="7" fillId="3" borderId="16" xfId="2" applyFont="1" applyBorder="1" applyAlignment="1">
      <alignment horizontal="center"/>
    </xf>
    <xf numFmtId="0" fontId="7" fillId="15" borderId="16" xfId="2" applyFont="1" applyFill="1" applyBorder="1" applyAlignment="1">
      <alignment horizontal="center"/>
    </xf>
    <xf numFmtId="0" fontId="9" fillId="10" borderId="37" xfId="0" applyFont="1" applyFill="1" applyBorder="1" applyAlignment="1">
      <alignment horizontal="center" vertical="top"/>
    </xf>
    <xf numFmtId="0" fontId="9" fillId="10" borderId="36" xfId="0" applyFont="1" applyFill="1" applyBorder="1" applyAlignment="1">
      <alignment horizontal="center" vertical="top"/>
    </xf>
    <xf numFmtId="0" fontId="7" fillId="2" borderId="15" xfId="1" applyFont="1" applyBorder="1" applyAlignment="1">
      <alignment horizontal="center"/>
    </xf>
    <xf numFmtId="0" fontId="7" fillId="2" borderId="30" xfId="1" applyFont="1" applyBorder="1" applyAlignment="1">
      <alignment horizontal="center"/>
    </xf>
    <xf numFmtId="0" fontId="7" fillId="16" borderId="30" xfId="0" applyFont="1" applyFill="1" applyBorder="1" applyAlignment="1">
      <alignment horizontal="center" vertical="center" wrapText="1"/>
    </xf>
    <xf numFmtId="0" fontId="7" fillId="16" borderId="13" xfId="0" applyFont="1" applyFill="1" applyBorder="1" applyAlignment="1">
      <alignment horizontal="center" vertical="center" wrapText="1"/>
    </xf>
    <xf numFmtId="0" fontId="9" fillId="10" borderId="23" xfId="0" applyFont="1" applyFill="1" applyBorder="1" applyAlignment="1">
      <alignment horizontal="center" vertical="top"/>
    </xf>
    <xf numFmtId="0" fontId="7" fillId="9" borderId="16" xfId="2" applyFont="1" applyFill="1" applyBorder="1" applyAlignment="1">
      <alignment horizontal="center"/>
    </xf>
    <xf numFmtId="0" fontId="7" fillId="9" borderId="1" xfId="2" applyFont="1" applyFill="1" applyBorder="1" applyAlignment="1">
      <alignment horizontal="center"/>
    </xf>
    <xf numFmtId="0" fontId="7" fillId="20" borderId="1" xfId="2" applyFont="1" applyFill="1" applyBorder="1" applyAlignment="1">
      <alignment horizontal="center"/>
    </xf>
    <xf numFmtId="0" fontId="7" fillId="12" borderId="16" xfId="2" applyFont="1" applyFill="1" applyBorder="1" applyAlignment="1">
      <alignment horizontal="center"/>
    </xf>
    <xf numFmtId="0" fontId="7" fillId="12" borderId="1" xfId="2" applyFont="1" applyFill="1" applyBorder="1" applyAlignment="1">
      <alignment horizontal="center"/>
    </xf>
    <xf numFmtId="0" fontId="10" fillId="0" borderId="0" xfId="0" applyFont="1"/>
    <xf numFmtId="0" fontId="13" fillId="0" borderId="19" xfId="0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4" fillId="11" borderId="24" xfId="0" applyFont="1" applyFill="1" applyBorder="1" applyAlignment="1">
      <alignment horizontal="center" vertical="center" wrapText="1"/>
    </xf>
    <xf numFmtId="0" fontId="4" fillId="11" borderId="2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vertical="center" wrapText="1"/>
    </xf>
    <xf numFmtId="0" fontId="7" fillId="18" borderId="2" xfId="0" applyFont="1" applyFill="1" applyBorder="1" applyAlignment="1">
      <alignment vertical="center" wrapText="1"/>
    </xf>
    <xf numFmtId="0" fontId="7" fillId="19" borderId="2" xfId="0" applyFont="1" applyFill="1" applyBorder="1" applyAlignment="1">
      <alignment vertical="center" wrapText="1"/>
    </xf>
    <xf numFmtId="0" fontId="7" fillId="4" borderId="42" xfId="0" applyFont="1" applyFill="1" applyBorder="1" applyAlignment="1">
      <alignment horizontal="center" vertical="center" wrapText="1"/>
    </xf>
    <xf numFmtId="0" fontId="7" fillId="4" borderId="43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wrapText="1"/>
    </xf>
    <xf numFmtId="0" fontId="7" fillId="4" borderId="44" xfId="0" applyFont="1" applyFill="1" applyBorder="1" applyAlignment="1">
      <alignment horizontal="center" vertical="center" wrapText="1"/>
    </xf>
    <xf numFmtId="0" fontId="7" fillId="4" borderId="45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vertical="center" wrapText="1"/>
    </xf>
    <xf numFmtId="0" fontId="7" fillId="15" borderId="14" xfId="2" applyFont="1" applyFill="1" applyBorder="1" applyAlignment="1">
      <alignment horizontal="center"/>
    </xf>
    <xf numFmtId="0" fontId="7" fillId="15" borderId="33" xfId="2" applyFont="1" applyFill="1" applyBorder="1" applyAlignment="1">
      <alignment horizontal="center"/>
    </xf>
    <xf numFmtId="0" fontId="7" fillId="15" borderId="12" xfId="2" applyFont="1" applyFill="1" applyBorder="1" applyAlignment="1">
      <alignment horizontal="center"/>
    </xf>
    <xf numFmtId="0" fontId="4" fillId="17" borderId="48" xfId="0" applyFont="1" applyFill="1" applyBorder="1" applyAlignment="1">
      <alignment horizontal="center" vertical="center" wrapText="1"/>
    </xf>
    <xf numFmtId="0" fontId="4" fillId="17" borderId="39" xfId="0" applyFont="1" applyFill="1" applyBorder="1" applyAlignment="1">
      <alignment horizontal="center" vertical="center" wrapText="1"/>
    </xf>
    <xf numFmtId="0" fontId="7" fillId="15" borderId="1" xfId="0" applyFont="1" applyFill="1" applyBorder="1"/>
    <xf numFmtId="0" fontId="7" fillId="9" borderId="1" xfId="0" applyFont="1" applyFill="1" applyBorder="1"/>
    <xf numFmtId="0" fontId="7" fillId="9" borderId="11" xfId="0" applyFont="1" applyFill="1" applyBorder="1"/>
    <xf numFmtId="0" fontId="7" fillId="17" borderId="38" xfId="0" applyFont="1" applyFill="1" applyBorder="1"/>
    <xf numFmtId="0" fontId="7" fillId="21" borderId="46" xfId="0" applyFont="1" applyFill="1" applyBorder="1" applyAlignment="1">
      <alignment horizontal="center" vertical="center"/>
    </xf>
    <xf numFmtId="0" fontId="7" fillId="13" borderId="47" xfId="0" applyFont="1" applyFill="1" applyBorder="1" applyAlignment="1">
      <alignment horizontal="center"/>
    </xf>
    <xf numFmtId="0" fontId="7" fillId="17" borderId="47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 vertical="center" wrapText="1"/>
    </xf>
    <xf numFmtId="0" fontId="16" fillId="0" borderId="0" xfId="3"/>
    <xf numFmtId="0" fontId="15" fillId="0" borderId="0" xfId="3" applyFont="1"/>
    <xf numFmtId="0" fontId="7" fillId="9" borderId="1" xfId="3" applyFont="1" applyFill="1" applyBorder="1" applyAlignment="1">
      <alignment vertical="center" wrapText="1"/>
    </xf>
    <xf numFmtId="0" fontId="7" fillId="5" borderId="2" xfId="3" applyFont="1" applyFill="1" applyBorder="1" applyAlignment="1">
      <alignment vertical="center" wrapText="1"/>
    </xf>
    <xf numFmtId="0" fontId="7" fillId="20" borderId="1" xfId="3" applyFont="1" applyFill="1" applyBorder="1" applyAlignment="1">
      <alignment vertical="center" wrapText="1"/>
    </xf>
    <xf numFmtId="0" fontId="17" fillId="0" borderId="0" xfId="3" applyFont="1"/>
    <xf numFmtId="0" fontId="6" fillId="0" borderId="1" xfId="3" applyFont="1" applyBorder="1" applyAlignment="1">
      <alignment vertical="center" wrapText="1"/>
    </xf>
    <xf numFmtId="0" fontId="3" fillId="0" borderId="0" xfId="3" applyFont="1"/>
    <xf numFmtId="0" fontId="3" fillId="0" borderId="1" xfId="3" applyFont="1" applyBorder="1" applyAlignment="1">
      <alignment vertical="top" wrapText="1"/>
    </xf>
    <xf numFmtId="0" fontId="3" fillId="0" borderId="1" xfId="3" applyFont="1" applyBorder="1" applyAlignment="1">
      <alignment wrapText="1"/>
    </xf>
    <xf numFmtId="0" fontId="3" fillId="0" borderId="1" xfId="3" applyFont="1" applyBorder="1" applyAlignment="1">
      <alignment vertical="center" wrapText="1"/>
    </xf>
    <xf numFmtId="0" fontId="3" fillId="5" borderId="2" xfId="3" applyFont="1" applyFill="1" applyBorder="1" applyAlignment="1">
      <alignment vertical="center" wrapText="1"/>
    </xf>
    <xf numFmtId="0" fontId="3" fillId="18" borderId="2" xfId="3" applyFont="1" applyFill="1" applyBorder="1" applyAlignment="1">
      <alignment vertical="center" wrapText="1"/>
    </xf>
    <xf numFmtId="0" fontId="3" fillId="4" borderId="52" xfId="3" applyFont="1" applyFill="1" applyBorder="1" applyAlignment="1">
      <alignment horizontal="center" vertical="center" wrapText="1"/>
    </xf>
    <xf numFmtId="0" fontId="3" fillId="4" borderId="5" xfId="3" applyFont="1" applyFill="1" applyBorder="1" applyAlignment="1">
      <alignment horizontal="center" vertical="center" wrapText="1"/>
    </xf>
    <xf numFmtId="0" fontId="3" fillId="4" borderId="49" xfId="3" applyFont="1" applyFill="1" applyBorder="1" applyAlignment="1">
      <alignment horizontal="center" vertical="center" wrapText="1"/>
    </xf>
    <xf numFmtId="0" fontId="3" fillId="4" borderId="51" xfId="3" applyFont="1" applyFill="1" applyBorder="1" applyAlignment="1">
      <alignment horizontal="center" vertical="center" wrapText="1"/>
    </xf>
    <xf numFmtId="0" fontId="3" fillId="19" borderId="2" xfId="3" applyFont="1" applyFill="1" applyBorder="1" applyAlignment="1">
      <alignment vertical="center" wrapText="1"/>
    </xf>
    <xf numFmtId="0" fontId="3" fillId="6" borderId="2" xfId="3" applyFont="1" applyFill="1" applyBorder="1" applyAlignment="1">
      <alignment wrapText="1"/>
    </xf>
    <xf numFmtId="0" fontId="3" fillId="7" borderId="2" xfId="3" applyFont="1" applyFill="1" applyBorder="1" applyAlignment="1">
      <alignment vertical="center" wrapText="1"/>
    </xf>
    <xf numFmtId="0" fontId="6" fillId="11" borderId="52" xfId="3" applyFont="1" applyFill="1" applyBorder="1" applyAlignment="1">
      <alignment horizontal="center" vertical="center" wrapText="1"/>
    </xf>
    <xf numFmtId="0" fontId="6" fillId="11" borderId="5" xfId="3" applyFont="1" applyFill="1" applyBorder="1" applyAlignment="1">
      <alignment horizontal="center" vertical="center" wrapText="1"/>
    </xf>
    <xf numFmtId="0" fontId="7" fillId="10" borderId="7" xfId="4" applyFont="1" applyFill="1" applyBorder="1" applyAlignment="1">
      <alignment horizontal="center" vertical="center" wrapText="1"/>
    </xf>
    <xf numFmtId="0" fontId="7" fillId="10" borderId="8" xfId="4" applyFont="1" applyFill="1" applyBorder="1" applyAlignment="1">
      <alignment horizontal="center" vertical="center" wrapText="1"/>
    </xf>
    <xf numFmtId="0" fontId="7" fillId="5" borderId="2" xfId="3" applyFont="1" applyFill="1" applyBorder="1" applyAlignment="1">
      <alignment horizontal="center" vertical="center" wrapText="1"/>
    </xf>
    <xf numFmtId="0" fontId="7" fillId="9" borderId="1" xfId="3" applyFont="1" applyFill="1" applyBorder="1" applyAlignment="1">
      <alignment horizontal="center" vertical="center" wrapText="1"/>
    </xf>
    <xf numFmtId="0" fontId="7" fillId="9" borderId="10" xfId="3" applyFont="1" applyFill="1" applyBorder="1" applyAlignment="1">
      <alignment horizontal="center" vertical="center" wrapText="1"/>
    </xf>
    <xf numFmtId="0" fontId="7" fillId="16" borderId="1" xfId="3" applyFont="1" applyFill="1" applyBorder="1" applyAlignment="1">
      <alignment horizontal="center" vertical="center" wrapText="1"/>
    </xf>
    <xf numFmtId="0" fontId="7" fillId="15" borderId="1" xfId="3" applyFont="1" applyFill="1" applyBorder="1" applyAlignment="1">
      <alignment horizontal="center" vertical="center" wrapText="1"/>
    </xf>
    <xf numFmtId="0" fontId="7" fillId="15" borderId="10" xfId="3" applyFont="1" applyFill="1" applyBorder="1" applyAlignment="1">
      <alignment horizontal="center" vertical="center" wrapText="1"/>
    </xf>
    <xf numFmtId="0" fontId="4" fillId="17" borderId="55" xfId="3" applyFont="1" applyFill="1" applyBorder="1" applyAlignment="1">
      <alignment horizontal="center" vertical="center" wrapText="1"/>
    </xf>
    <xf numFmtId="0" fontId="4" fillId="17" borderId="56" xfId="3" applyFont="1" applyFill="1" applyBorder="1" applyAlignment="1">
      <alignment horizontal="center" vertical="center" wrapText="1"/>
    </xf>
    <xf numFmtId="0" fontId="7" fillId="16" borderId="1" xfId="3" applyFont="1" applyFill="1" applyBorder="1" applyAlignment="1">
      <alignment vertical="center" wrapText="1"/>
    </xf>
    <xf numFmtId="0" fontId="7" fillId="10" borderId="58" xfId="4" applyFont="1" applyFill="1" applyBorder="1" applyAlignment="1">
      <alignment horizontal="center" vertical="center" wrapText="1"/>
    </xf>
    <xf numFmtId="0" fontId="7" fillId="10" borderId="59" xfId="4" applyFont="1" applyFill="1" applyBorder="1" applyAlignment="1">
      <alignment horizontal="center" vertical="center" wrapText="1"/>
    </xf>
    <xf numFmtId="0" fontId="12" fillId="20" borderId="10" xfId="3" applyFont="1" applyFill="1" applyBorder="1" applyAlignment="1">
      <alignment vertical="center" wrapText="1"/>
    </xf>
    <xf numFmtId="0" fontId="12" fillId="9" borderId="10" xfId="3" applyFont="1" applyFill="1" applyBorder="1" applyAlignment="1">
      <alignment vertical="center" wrapText="1"/>
    </xf>
    <xf numFmtId="0" fontId="4" fillId="17" borderId="55" xfId="3" applyFont="1" applyFill="1" applyBorder="1" applyAlignment="1">
      <alignment vertical="center" wrapText="1"/>
    </xf>
    <xf numFmtId="0" fontId="7" fillId="17" borderId="55" xfId="3" applyFont="1" applyFill="1" applyBorder="1" applyAlignment="1">
      <alignment vertical="center" wrapText="1"/>
    </xf>
    <xf numFmtId="0" fontId="12" fillId="17" borderId="56" xfId="3" applyFont="1" applyFill="1" applyBorder="1" applyAlignment="1">
      <alignment vertical="center" wrapText="1"/>
    </xf>
    <xf numFmtId="0" fontId="7" fillId="15" borderId="1" xfId="3" applyFont="1" applyFill="1" applyBorder="1" applyAlignment="1">
      <alignment vertical="center" wrapText="1"/>
    </xf>
    <xf numFmtId="0" fontId="12" fillId="15" borderId="10" xfId="3" applyFont="1" applyFill="1" applyBorder="1" applyAlignment="1">
      <alignment vertical="center" wrapText="1"/>
    </xf>
    <xf numFmtId="0" fontId="7" fillId="21" borderId="46" xfId="3" applyFont="1" applyFill="1" applyBorder="1" applyAlignment="1">
      <alignment horizontal="center" vertical="center"/>
    </xf>
    <xf numFmtId="0" fontId="7" fillId="13" borderId="47" xfId="3" applyFont="1" applyFill="1" applyBorder="1" applyAlignment="1">
      <alignment horizontal="center"/>
    </xf>
    <xf numFmtId="0" fontId="7" fillId="17" borderId="47" xfId="3" applyFont="1" applyFill="1" applyBorder="1" applyAlignment="1">
      <alignment horizontal="center"/>
    </xf>
    <xf numFmtId="0" fontId="7" fillId="17" borderId="1" xfId="3" applyFont="1" applyFill="1" applyBorder="1" applyAlignment="1">
      <alignment horizontal="center" vertical="center" wrapText="1"/>
    </xf>
    <xf numFmtId="16" fontId="7" fillId="10" borderId="8" xfId="4" applyNumberFormat="1" applyFont="1" applyFill="1" applyBorder="1" applyAlignment="1">
      <alignment horizontal="center" vertical="center" wrapText="1"/>
    </xf>
    <xf numFmtId="16" fontId="9" fillId="10" borderId="37" xfId="0" applyNumberFormat="1" applyFont="1" applyFill="1" applyBorder="1" applyAlignment="1">
      <alignment horizontal="center" vertical="top"/>
    </xf>
    <xf numFmtId="0" fontId="5" fillId="9" borderId="1" xfId="3" applyFont="1" applyFill="1" applyBorder="1" applyAlignment="1">
      <alignment horizontal="center"/>
    </xf>
    <xf numFmtId="0" fontId="7" fillId="16" borderId="9" xfId="3" applyFont="1" applyFill="1" applyBorder="1" applyAlignment="1">
      <alignment horizontal="center" vertical="center" wrapText="1"/>
    </xf>
    <xf numFmtId="0" fontId="5" fillId="9" borderId="53" xfId="3" applyFont="1" applyFill="1" applyBorder="1" applyAlignment="1">
      <alignment horizontal="center" vertical="center" wrapText="1"/>
    </xf>
    <xf numFmtId="0" fontId="5" fillId="9" borderId="57" xfId="3" applyFont="1" applyFill="1" applyBorder="1" applyAlignment="1">
      <alignment horizontal="center" vertical="center" wrapText="1"/>
    </xf>
    <xf numFmtId="0" fontId="5" fillId="9" borderId="54" xfId="3" applyFont="1" applyFill="1" applyBorder="1" applyAlignment="1">
      <alignment horizontal="center" vertical="center" wrapText="1"/>
    </xf>
    <xf numFmtId="0" fontId="4" fillId="16" borderId="9" xfId="3" applyFont="1" applyFill="1" applyBorder="1" applyAlignment="1">
      <alignment horizontal="center" vertical="center" wrapText="1"/>
    </xf>
    <xf numFmtId="0" fontId="4" fillId="9" borderId="57" xfId="3" applyFont="1" applyFill="1" applyBorder="1" applyAlignment="1">
      <alignment horizontal="center" vertical="center" wrapText="1"/>
    </xf>
    <xf numFmtId="0" fontId="4" fillId="9" borderId="54" xfId="3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3" fillId="0" borderId="3" xfId="3" applyFont="1" applyBorder="1" applyAlignment="1">
      <alignment horizontal="center" vertical="center" wrapText="1"/>
    </xf>
    <xf numFmtId="0" fontId="8" fillId="0" borderId="4" xfId="3" applyFont="1" applyBorder="1"/>
    <xf numFmtId="0" fontId="6" fillId="10" borderId="1" xfId="3" applyFont="1" applyFill="1" applyBorder="1" applyAlignment="1">
      <alignment horizontal="center" vertical="center" wrapText="1"/>
    </xf>
    <xf numFmtId="0" fontId="8" fillId="10" borderId="1" xfId="3" applyFont="1" applyFill="1" applyBorder="1"/>
    <xf numFmtId="0" fontId="6" fillId="8" borderId="49" xfId="3" applyFont="1" applyFill="1" applyBorder="1" applyAlignment="1">
      <alignment horizontal="center" vertical="center" wrapText="1"/>
    </xf>
    <xf numFmtId="0" fontId="8" fillId="9" borderId="50" xfId="3" applyFont="1" applyFill="1" applyBorder="1"/>
    <xf numFmtId="0" fontId="8" fillId="9" borderId="51" xfId="3" applyFont="1" applyFill="1" applyBorder="1"/>
    <xf numFmtId="0" fontId="6" fillId="11" borderId="49" xfId="3" applyFont="1" applyFill="1" applyBorder="1" applyAlignment="1">
      <alignment horizontal="center" vertical="center" wrapText="1"/>
    </xf>
    <xf numFmtId="0" fontId="8" fillId="10" borderId="51" xfId="3" applyFont="1" applyFill="1" applyBorder="1"/>
    <xf numFmtId="0" fontId="4" fillId="10" borderId="28" xfId="0" applyFont="1" applyFill="1" applyBorder="1" applyAlignment="1">
      <alignment horizontal="center" vertical="center" wrapText="1"/>
    </xf>
    <xf numFmtId="0" fontId="4" fillId="10" borderId="29" xfId="0" applyFont="1" applyFill="1" applyBorder="1" applyAlignment="1">
      <alignment horizontal="center" vertical="center" wrapText="1"/>
    </xf>
    <xf numFmtId="0" fontId="4" fillId="8" borderId="26" xfId="0" applyFont="1" applyFill="1" applyBorder="1" applyAlignment="1">
      <alignment horizontal="center" vertical="center" wrapText="1"/>
    </xf>
    <xf numFmtId="0" fontId="4" fillId="8" borderId="27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4" fillId="0" borderId="4" xfId="0" applyFont="1" applyBorder="1"/>
    <xf numFmtId="0" fontId="7" fillId="2" borderId="41" xfId="1" applyFont="1" applyBorder="1" applyAlignment="1">
      <alignment horizontal="center" vertical="center"/>
    </xf>
    <xf numFmtId="0" fontId="7" fillId="2" borderId="34" xfId="1" applyFont="1" applyBorder="1" applyAlignment="1">
      <alignment horizontal="center" vertical="center"/>
    </xf>
    <xf numFmtId="0" fontId="7" fillId="2" borderId="40" xfId="1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0" fontId="5" fillId="9" borderId="26" xfId="0" applyFont="1" applyFill="1" applyBorder="1" applyAlignment="1">
      <alignment horizontal="center" vertical="center" wrapText="1"/>
    </xf>
    <xf numFmtId="0" fontId="5" fillId="9" borderId="35" xfId="0" applyFont="1" applyFill="1" applyBorder="1" applyAlignment="1">
      <alignment horizontal="center" vertical="center" wrapText="1"/>
    </xf>
    <xf numFmtId="0" fontId="5" fillId="9" borderId="3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</cellXfs>
  <cellStyles count="5">
    <cellStyle name="20% - Accent4" xfId="2" builtinId="42"/>
    <cellStyle name="40% - Accent3" xfId="1" builtinId="39"/>
    <cellStyle name="60% - Accent4 2" xfId="4" xr:uid="{2F13F914-8710-4973-9FC4-6FD957539F54}"/>
    <cellStyle name="Normal" xfId="0" builtinId="0"/>
    <cellStyle name="Normal 2" xfId="3" xr:uid="{7840972F-0948-47AA-88C8-A9FA03E03FD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BIỂU</a:t>
            </a:r>
            <a:r>
              <a:rPr lang="en-US" baseline="0"/>
              <a:t> ĐỒ SPRINT-2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Sprint2!$C$105</c:f>
              <c:strCache>
                <c:ptCount val="1"/>
                <c:pt idx="0">
                  <c:v>Uớc tính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Sprint2!$D$103:$S$104</c:f>
              <c:strCache>
                <c:ptCount val="16"/>
                <c:pt idx="0">
                  <c:v>1-Nov</c:v>
                </c:pt>
                <c:pt idx="1">
                  <c:v>2-Nov</c:v>
                </c:pt>
                <c:pt idx="2">
                  <c:v>3-Nov</c:v>
                </c:pt>
                <c:pt idx="3">
                  <c:v>4-Nov</c:v>
                </c:pt>
                <c:pt idx="4">
                  <c:v>5-Nov</c:v>
                </c:pt>
                <c:pt idx="5">
                  <c:v>6-Nov</c:v>
                </c:pt>
                <c:pt idx="6">
                  <c:v>7-Nov</c:v>
                </c:pt>
                <c:pt idx="7">
                  <c:v>8-Nov</c:v>
                </c:pt>
                <c:pt idx="8">
                  <c:v>9-Nov</c:v>
                </c:pt>
                <c:pt idx="9">
                  <c:v>10-Nov</c:v>
                </c:pt>
                <c:pt idx="10">
                  <c:v>11-Nov</c:v>
                </c:pt>
                <c:pt idx="11">
                  <c:v>12-Nov</c:v>
                </c:pt>
                <c:pt idx="12">
                  <c:v>13-Nov</c:v>
                </c:pt>
                <c:pt idx="13">
                  <c:v>14-Nov</c:v>
                </c:pt>
                <c:pt idx="14">
                  <c:v>15-Nov</c:v>
                </c:pt>
                <c:pt idx="15">
                  <c:v>16-Nov</c:v>
                </c:pt>
              </c:strCache>
            </c:strRef>
          </c:cat>
          <c:val>
            <c:numRef>
              <c:f>Sprint2!$D$105:$S$105</c:f>
              <c:numCache>
                <c:formatCode>General</c:formatCode>
                <c:ptCount val="16"/>
                <c:pt idx="0">
                  <c:v>515</c:v>
                </c:pt>
                <c:pt idx="1">
                  <c:v>476</c:v>
                </c:pt>
                <c:pt idx="2">
                  <c:v>438</c:v>
                </c:pt>
                <c:pt idx="3">
                  <c:v>379</c:v>
                </c:pt>
                <c:pt idx="4">
                  <c:v>330</c:v>
                </c:pt>
                <c:pt idx="5">
                  <c:v>293</c:v>
                </c:pt>
                <c:pt idx="6">
                  <c:v>254</c:v>
                </c:pt>
                <c:pt idx="7">
                  <c:v>215</c:v>
                </c:pt>
                <c:pt idx="8">
                  <c:v>168</c:v>
                </c:pt>
                <c:pt idx="9">
                  <c:v>129</c:v>
                </c:pt>
                <c:pt idx="10">
                  <c:v>87</c:v>
                </c:pt>
                <c:pt idx="11">
                  <c:v>59</c:v>
                </c:pt>
                <c:pt idx="12">
                  <c:v>32</c:v>
                </c:pt>
                <c:pt idx="13">
                  <c:v>17</c:v>
                </c:pt>
                <c:pt idx="14">
                  <c:v>8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D-494B-918A-976E27941D07}"/>
            </c:ext>
          </c:extLst>
        </c:ser>
        <c:ser>
          <c:idx val="1"/>
          <c:order val="1"/>
          <c:tx>
            <c:strRef>
              <c:f>Sprint2!$C$106</c:f>
              <c:strCache>
                <c:ptCount val="1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Sprint2!$D$103:$S$104</c:f>
              <c:strCache>
                <c:ptCount val="16"/>
                <c:pt idx="0">
                  <c:v>1-Nov</c:v>
                </c:pt>
                <c:pt idx="1">
                  <c:v>2-Nov</c:v>
                </c:pt>
                <c:pt idx="2">
                  <c:v>3-Nov</c:v>
                </c:pt>
                <c:pt idx="3">
                  <c:v>4-Nov</c:v>
                </c:pt>
                <c:pt idx="4">
                  <c:v>5-Nov</c:v>
                </c:pt>
                <c:pt idx="5">
                  <c:v>6-Nov</c:v>
                </c:pt>
                <c:pt idx="6">
                  <c:v>7-Nov</c:v>
                </c:pt>
                <c:pt idx="7">
                  <c:v>8-Nov</c:v>
                </c:pt>
                <c:pt idx="8">
                  <c:v>9-Nov</c:v>
                </c:pt>
                <c:pt idx="9">
                  <c:v>10-Nov</c:v>
                </c:pt>
                <c:pt idx="10">
                  <c:v>11-Nov</c:v>
                </c:pt>
                <c:pt idx="11">
                  <c:v>12-Nov</c:v>
                </c:pt>
                <c:pt idx="12">
                  <c:v>13-Nov</c:v>
                </c:pt>
                <c:pt idx="13">
                  <c:v>14-Nov</c:v>
                </c:pt>
                <c:pt idx="14">
                  <c:v>15-Nov</c:v>
                </c:pt>
                <c:pt idx="15">
                  <c:v>16-Nov</c:v>
                </c:pt>
              </c:strCache>
            </c:strRef>
          </c:cat>
          <c:val>
            <c:numRef>
              <c:f>Sprint2!$D$106:$S$106</c:f>
              <c:numCache>
                <c:formatCode>General</c:formatCode>
                <c:ptCount val="16"/>
                <c:pt idx="0">
                  <c:v>540</c:v>
                </c:pt>
                <c:pt idx="1">
                  <c:v>501</c:v>
                </c:pt>
                <c:pt idx="2">
                  <c:v>463</c:v>
                </c:pt>
                <c:pt idx="3">
                  <c:v>401</c:v>
                </c:pt>
                <c:pt idx="4">
                  <c:v>356</c:v>
                </c:pt>
                <c:pt idx="5">
                  <c:v>319</c:v>
                </c:pt>
                <c:pt idx="6">
                  <c:v>282</c:v>
                </c:pt>
                <c:pt idx="7">
                  <c:v>241</c:v>
                </c:pt>
                <c:pt idx="8">
                  <c:v>188</c:v>
                </c:pt>
                <c:pt idx="9">
                  <c:v>145</c:v>
                </c:pt>
                <c:pt idx="10">
                  <c:v>97</c:v>
                </c:pt>
                <c:pt idx="11">
                  <c:v>68</c:v>
                </c:pt>
                <c:pt idx="12">
                  <c:v>40</c:v>
                </c:pt>
                <c:pt idx="13">
                  <c:v>24</c:v>
                </c:pt>
                <c:pt idx="14">
                  <c:v>12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1D-494B-918A-976E27941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804831"/>
        <c:axId val="1657802911"/>
      </c:lineChart>
      <c:dateAx>
        <c:axId val="1657804831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02911"/>
        <c:crosses val="autoZero"/>
        <c:auto val="1"/>
        <c:lblOffset val="100"/>
        <c:baseTimeUnit val="days"/>
      </c:dateAx>
      <c:valAx>
        <c:axId val="165780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0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BIỂU</a:t>
            </a:r>
            <a:r>
              <a:rPr lang="en-US" baseline="0"/>
              <a:t> ĐỒ SPRINT -3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878927319984662E-2"/>
          <c:y val="0.12615427444121055"/>
          <c:w val="0.94556604879364747"/>
          <c:h val="0.72050344443597625"/>
        </c:manualLayout>
      </c:layout>
      <c:lineChart>
        <c:grouping val="standard"/>
        <c:varyColors val="0"/>
        <c:ser>
          <c:idx val="0"/>
          <c:order val="0"/>
          <c:tx>
            <c:strRef>
              <c:f>'Sprint 3'!$A$89</c:f>
              <c:strCache>
                <c:ptCount val="1"/>
                <c:pt idx="0">
                  <c:v>Uớc tính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'Sprint 3'!$B$87:$P$88</c:f>
              <c:strCache>
                <c:ptCount val="15"/>
                <c:pt idx="0">
                  <c:v>17-Nov</c:v>
                </c:pt>
                <c:pt idx="1">
                  <c:v>18-Nov</c:v>
                </c:pt>
                <c:pt idx="2">
                  <c:v>19-Nov</c:v>
                </c:pt>
                <c:pt idx="3">
                  <c:v>20-Nov</c:v>
                </c:pt>
                <c:pt idx="4">
                  <c:v>21-Nov</c:v>
                </c:pt>
                <c:pt idx="5">
                  <c:v>22-Nov</c:v>
                </c:pt>
                <c:pt idx="6">
                  <c:v>23-Nov</c:v>
                </c:pt>
                <c:pt idx="7">
                  <c:v>24-Nov</c:v>
                </c:pt>
                <c:pt idx="8">
                  <c:v>25-Nov</c:v>
                </c:pt>
                <c:pt idx="9">
                  <c:v>26-Nov</c:v>
                </c:pt>
                <c:pt idx="10">
                  <c:v>27-Nov</c:v>
                </c:pt>
                <c:pt idx="11">
                  <c:v>28-Nov</c:v>
                </c:pt>
                <c:pt idx="12">
                  <c:v>29-Nov</c:v>
                </c:pt>
                <c:pt idx="13">
                  <c:v>30-Nov</c:v>
                </c:pt>
                <c:pt idx="14">
                  <c:v>1-Dec</c:v>
                </c:pt>
              </c:strCache>
            </c:strRef>
          </c:cat>
          <c:val>
            <c:numRef>
              <c:f>'Sprint 3'!$B$89:$P$89</c:f>
              <c:numCache>
                <c:formatCode>General</c:formatCode>
                <c:ptCount val="15"/>
                <c:pt idx="0">
                  <c:v>380</c:v>
                </c:pt>
                <c:pt idx="1">
                  <c:v>348</c:v>
                </c:pt>
                <c:pt idx="2">
                  <c:v>312</c:v>
                </c:pt>
                <c:pt idx="3">
                  <c:v>286</c:v>
                </c:pt>
                <c:pt idx="4">
                  <c:v>245</c:v>
                </c:pt>
                <c:pt idx="5">
                  <c:v>211</c:v>
                </c:pt>
                <c:pt idx="6">
                  <c:v>166</c:v>
                </c:pt>
                <c:pt idx="7">
                  <c:v>140</c:v>
                </c:pt>
                <c:pt idx="8">
                  <c:v>95</c:v>
                </c:pt>
                <c:pt idx="9">
                  <c:v>52</c:v>
                </c:pt>
                <c:pt idx="10">
                  <c:v>33</c:v>
                </c:pt>
                <c:pt idx="11">
                  <c:v>28</c:v>
                </c:pt>
                <c:pt idx="12">
                  <c:v>24</c:v>
                </c:pt>
                <c:pt idx="13">
                  <c:v>16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44-4DBD-A4D8-DA36468CDCB0}"/>
            </c:ext>
          </c:extLst>
        </c:ser>
        <c:ser>
          <c:idx val="1"/>
          <c:order val="1"/>
          <c:tx>
            <c:strRef>
              <c:f>'Sprint 3'!$A$90</c:f>
              <c:strCache>
                <c:ptCount val="1"/>
                <c:pt idx="0">
                  <c:v>Thực tế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'Sprint 3'!$B$87:$P$88</c:f>
              <c:strCache>
                <c:ptCount val="15"/>
                <c:pt idx="0">
                  <c:v>17-Nov</c:v>
                </c:pt>
                <c:pt idx="1">
                  <c:v>18-Nov</c:v>
                </c:pt>
                <c:pt idx="2">
                  <c:v>19-Nov</c:v>
                </c:pt>
                <c:pt idx="3">
                  <c:v>20-Nov</c:v>
                </c:pt>
                <c:pt idx="4">
                  <c:v>21-Nov</c:v>
                </c:pt>
                <c:pt idx="5">
                  <c:v>22-Nov</c:v>
                </c:pt>
                <c:pt idx="6">
                  <c:v>23-Nov</c:v>
                </c:pt>
                <c:pt idx="7">
                  <c:v>24-Nov</c:v>
                </c:pt>
                <c:pt idx="8">
                  <c:v>25-Nov</c:v>
                </c:pt>
                <c:pt idx="9">
                  <c:v>26-Nov</c:v>
                </c:pt>
                <c:pt idx="10">
                  <c:v>27-Nov</c:v>
                </c:pt>
                <c:pt idx="11">
                  <c:v>28-Nov</c:v>
                </c:pt>
                <c:pt idx="12">
                  <c:v>29-Nov</c:v>
                </c:pt>
                <c:pt idx="13">
                  <c:v>30-Nov</c:v>
                </c:pt>
                <c:pt idx="14">
                  <c:v>1-Dec</c:v>
                </c:pt>
              </c:strCache>
            </c:strRef>
          </c:cat>
          <c:val>
            <c:numRef>
              <c:f>'Sprint 3'!$B$90:$P$90</c:f>
              <c:numCache>
                <c:formatCode>General</c:formatCode>
                <c:ptCount val="15"/>
                <c:pt idx="0">
                  <c:v>488</c:v>
                </c:pt>
                <c:pt idx="1">
                  <c:v>467</c:v>
                </c:pt>
                <c:pt idx="2">
                  <c:v>421</c:v>
                </c:pt>
                <c:pt idx="3">
                  <c:v>379</c:v>
                </c:pt>
                <c:pt idx="4">
                  <c:v>321</c:v>
                </c:pt>
                <c:pt idx="5">
                  <c:v>267</c:v>
                </c:pt>
                <c:pt idx="6">
                  <c:v>210</c:v>
                </c:pt>
                <c:pt idx="7">
                  <c:v>170</c:v>
                </c:pt>
                <c:pt idx="8">
                  <c:v>124</c:v>
                </c:pt>
                <c:pt idx="9">
                  <c:v>78</c:v>
                </c:pt>
                <c:pt idx="10">
                  <c:v>51</c:v>
                </c:pt>
                <c:pt idx="11">
                  <c:v>43</c:v>
                </c:pt>
                <c:pt idx="12">
                  <c:v>38</c:v>
                </c:pt>
                <c:pt idx="13">
                  <c:v>20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44-4DBD-A4D8-DA36468CD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1294111"/>
        <c:axId val="2131297471"/>
      </c:lineChart>
      <c:dateAx>
        <c:axId val="2131294111"/>
        <c:scaling>
          <c:orientation val="minMax"/>
        </c:scaling>
        <c:delete val="0"/>
        <c:axPos val="b"/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297471"/>
        <c:crosses val="autoZero"/>
        <c:auto val="1"/>
        <c:lblOffset val="100"/>
        <c:baseTimeUnit val="days"/>
      </c:dateAx>
      <c:valAx>
        <c:axId val="213129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294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729615</xdr:colOff>
      <xdr:row>110</xdr:row>
      <xdr:rowOff>120016</xdr:rowOff>
    </xdr:from>
    <xdr:to>
      <xdr:col>15</xdr:col>
      <xdr:colOff>567690</xdr:colOff>
      <xdr:row>136</xdr:row>
      <xdr:rowOff>9526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0AF31A-D25E-4C0A-9DBB-2CFCF4683E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562087</xdr:colOff>
      <xdr:row>97</xdr:row>
      <xdr:rowOff>59838</xdr:rowOff>
    </xdr:from>
    <xdr:to>
      <xdr:col>14</xdr:col>
      <xdr:colOff>437029</xdr:colOff>
      <xdr:row>129</xdr:row>
      <xdr:rowOff>156881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6186E0-D0C3-E8D8-F358-13B0130BC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B82E-2A54-4C5A-BB9A-31DE9BF0BA48}">
  <dimension ref="A1:T106"/>
  <sheetViews>
    <sheetView topLeftCell="A95" zoomScale="75" zoomScaleNormal="75" workbookViewId="0">
      <selection activeCell="R113" sqref="R113"/>
    </sheetView>
  </sheetViews>
  <sheetFormatPr baseColWidth="10" defaultColWidth="8.83203125" defaultRowHeight="15" x14ac:dyDescent="0.2"/>
  <cols>
    <col min="1" max="1" width="21" style="66" customWidth="1"/>
    <col min="2" max="2" width="35.5" style="66" customWidth="1"/>
    <col min="3" max="3" width="29.6640625" style="66" customWidth="1"/>
    <col min="4" max="4" width="21.5" style="66" customWidth="1"/>
    <col min="5" max="5" width="11.33203125" style="66" bestFit="1" customWidth="1"/>
    <col min="6" max="6" width="12.83203125" style="66" customWidth="1"/>
    <col min="7" max="15" width="11.33203125" style="66" bestFit="1" customWidth="1"/>
    <col min="16" max="16" width="11.1640625" style="66" customWidth="1"/>
    <col min="17" max="17" width="11.83203125" style="66" customWidth="1"/>
    <col min="18" max="18" width="11.5" style="66" customWidth="1"/>
    <col min="19" max="19" width="12.1640625" style="66" customWidth="1"/>
    <col min="20" max="20" width="9.6640625" style="66" bestFit="1" customWidth="1"/>
    <col min="21" max="21" width="8.83203125" style="66"/>
    <col min="22" max="22" width="13" style="66" customWidth="1"/>
    <col min="23" max="23" width="14.6640625" style="66" customWidth="1"/>
    <col min="24" max="16384" width="8.83203125" style="66"/>
  </cols>
  <sheetData>
    <row r="1" spans="1:9" ht="19" x14ac:dyDescent="0.2">
      <c r="A1" s="72" t="s">
        <v>4</v>
      </c>
      <c r="B1" s="126" t="s">
        <v>64</v>
      </c>
      <c r="C1" s="127"/>
      <c r="D1" s="127"/>
      <c r="E1" s="127"/>
      <c r="F1" s="73"/>
      <c r="G1" s="73"/>
      <c r="H1" s="73"/>
      <c r="I1" s="73"/>
    </row>
    <row r="2" spans="1:9" ht="20" thickBot="1" x14ac:dyDescent="0.25">
      <c r="A2" s="72" t="s">
        <v>6</v>
      </c>
      <c r="B2" s="74" t="s">
        <v>65</v>
      </c>
      <c r="C2" s="75"/>
      <c r="D2" s="76"/>
      <c r="E2" s="75"/>
      <c r="F2" s="73"/>
      <c r="G2" s="73"/>
      <c r="H2" s="73"/>
      <c r="I2" s="73"/>
    </row>
    <row r="3" spans="1:9" ht="22" thickBot="1" x14ac:dyDescent="0.25">
      <c r="A3" s="72" t="s">
        <v>8</v>
      </c>
      <c r="B3" s="1" t="s">
        <v>9</v>
      </c>
      <c r="C3" s="75"/>
      <c r="D3" s="74"/>
      <c r="E3" s="76"/>
      <c r="F3" s="73"/>
      <c r="G3" s="73"/>
      <c r="H3" s="73"/>
      <c r="I3" s="73"/>
    </row>
    <row r="4" spans="1:9" ht="22" thickBot="1" x14ac:dyDescent="0.25">
      <c r="A4" s="72" t="s">
        <v>10</v>
      </c>
      <c r="B4" s="7" t="s">
        <v>66</v>
      </c>
      <c r="C4" s="75"/>
      <c r="D4" s="74"/>
      <c r="E4" s="76"/>
      <c r="F4" s="73"/>
      <c r="G4" s="73"/>
      <c r="H4" s="73"/>
      <c r="I4" s="73"/>
    </row>
    <row r="5" spans="1:9" ht="18" x14ac:dyDescent="0.2">
      <c r="A5" s="73"/>
      <c r="B5" s="73"/>
      <c r="C5" s="73"/>
      <c r="D5" s="73"/>
      <c r="E5" s="73"/>
      <c r="F5" s="73"/>
      <c r="G5" s="73"/>
      <c r="H5" s="73"/>
      <c r="I5" s="73"/>
    </row>
    <row r="6" spans="1:9" ht="19" thickBot="1" x14ac:dyDescent="0.25">
      <c r="A6" s="73"/>
      <c r="B6" s="73"/>
      <c r="C6" s="73"/>
      <c r="D6" s="73"/>
      <c r="E6" s="73"/>
      <c r="F6" s="73"/>
      <c r="G6" s="73"/>
      <c r="H6" s="73"/>
      <c r="I6" s="73"/>
    </row>
    <row r="7" spans="1:9" ht="19" thickBot="1" x14ac:dyDescent="0.25">
      <c r="A7" s="128" t="s">
        <v>86</v>
      </c>
      <c r="B7" s="129"/>
      <c r="C7" s="129"/>
      <c r="D7" s="130"/>
      <c r="E7" s="73"/>
      <c r="F7" s="73"/>
      <c r="G7" s="77"/>
      <c r="H7" s="124" t="s">
        <v>14</v>
      </c>
      <c r="I7" s="125"/>
    </row>
    <row r="8" spans="1:9" ht="20" thickBot="1" x14ac:dyDescent="0.25">
      <c r="A8" s="86" t="s">
        <v>11</v>
      </c>
      <c r="B8" s="87" t="s">
        <v>12</v>
      </c>
      <c r="C8" s="131" t="s">
        <v>13</v>
      </c>
      <c r="D8" s="132"/>
      <c r="E8" s="73"/>
      <c r="F8" s="73"/>
      <c r="G8" s="78"/>
      <c r="H8" s="124" t="s">
        <v>60</v>
      </c>
      <c r="I8" s="125"/>
    </row>
    <row r="9" spans="1:9" ht="20" thickBot="1" x14ac:dyDescent="0.25">
      <c r="A9" s="79">
        <v>1</v>
      </c>
      <c r="B9" s="80" t="s">
        <v>1</v>
      </c>
      <c r="C9" s="81"/>
      <c r="D9" s="82"/>
      <c r="E9" s="73"/>
      <c r="F9" s="73"/>
      <c r="G9" s="83"/>
      <c r="H9" s="124" t="s">
        <v>61</v>
      </c>
      <c r="I9" s="125"/>
    </row>
    <row r="10" spans="1:9" ht="20" thickBot="1" x14ac:dyDescent="0.25">
      <c r="A10" s="79">
        <v>2</v>
      </c>
      <c r="B10" s="80" t="s">
        <v>67</v>
      </c>
      <c r="C10" s="81"/>
      <c r="D10" s="82"/>
      <c r="E10" s="73"/>
      <c r="F10" s="73"/>
      <c r="G10" s="84"/>
      <c r="H10" s="124" t="s">
        <v>15</v>
      </c>
      <c r="I10" s="125"/>
    </row>
    <row r="11" spans="1:9" ht="20" thickBot="1" x14ac:dyDescent="0.25">
      <c r="A11" s="79">
        <v>3</v>
      </c>
      <c r="B11" s="80" t="s">
        <v>23</v>
      </c>
      <c r="C11" s="81"/>
      <c r="D11" s="82"/>
      <c r="E11" s="73"/>
      <c r="F11" s="73"/>
      <c r="G11" s="85"/>
      <c r="H11" s="124" t="s">
        <v>16</v>
      </c>
      <c r="I11" s="125"/>
    </row>
    <row r="12" spans="1:9" ht="20" thickBot="1" x14ac:dyDescent="0.25">
      <c r="A12" s="79">
        <v>4</v>
      </c>
      <c r="B12" s="80" t="s">
        <v>2</v>
      </c>
      <c r="C12" s="81"/>
      <c r="D12" s="82"/>
      <c r="E12" s="73"/>
      <c r="F12" s="73"/>
      <c r="G12" s="73"/>
      <c r="H12" s="73"/>
      <c r="I12" s="73"/>
    </row>
    <row r="13" spans="1:9" ht="20" thickBot="1" x14ac:dyDescent="0.25">
      <c r="A13" s="79">
        <v>5</v>
      </c>
      <c r="B13" s="80" t="s">
        <v>68</v>
      </c>
      <c r="C13" s="81"/>
      <c r="D13" s="82"/>
      <c r="E13" s="73"/>
      <c r="F13" s="73"/>
      <c r="G13" s="73"/>
      <c r="H13" s="73"/>
      <c r="I13" s="73"/>
    </row>
    <row r="14" spans="1:9" ht="18" x14ac:dyDescent="0.2">
      <c r="A14" s="73"/>
      <c r="B14" s="73"/>
      <c r="C14" s="73"/>
      <c r="D14" s="73"/>
      <c r="E14" s="73"/>
      <c r="F14" s="73"/>
      <c r="G14" s="73"/>
      <c r="H14" s="73"/>
      <c r="I14" s="73"/>
    </row>
    <row r="17" spans="1:20" ht="37.5" customHeight="1" x14ac:dyDescent="0.2">
      <c r="A17" s="123" t="s">
        <v>69</v>
      </c>
      <c r="B17" s="123"/>
      <c r="C17" s="123"/>
    </row>
    <row r="18" spans="1:20" ht="16" thickBot="1" x14ac:dyDescent="0.25"/>
    <row r="19" spans="1:20" ht="44.5" customHeight="1" thickBot="1" x14ac:dyDescent="0.25">
      <c r="A19" s="88" t="s">
        <v>24</v>
      </c>
      <c r="B19" s="89" t="s">
        <v>17</v>
      </c>
      <c r="C19" s="89" t="s">
        <v>25</v>
      </c>
      <c r="D19" s="89" t="s">
        <v>70</v>
      </c>
      <c r="E19" s="112">
        <v>45962</v>
      </c>
      <c r="F19" s="112">
        <v>45963</v>
      </c>
      <c r="G19" s="112">
        <v>45964</v>
      </c>
      <c r="H19" s="112">
        <v>45965</v>
      </c>
      <c r="I19" s="112">
        <v>45966</v>
      </c>
      <c r="J19" s="112">
        <v>45967</v>
      </c>
      <c r="K19" s="112">
        <v>45968</v>
      </c>
      <c r="L19" s="112">
        <v>45969</v>
      </c>
      <c r="M19" s="112">
        <v>45970</v>
      </c>
      <c r="N19" s="112">
        <v>45971</v>
      </c>
      <c r="O19" s="112">
        <v>45972</v>
      </c>
      <c r="P19" s="112">
        <v>45973</v>
      </c>
      <c r="Q19" s="112">
        <v>45974</v>
      </c>
      <c r="R19" s="112">
        <v>45975</v>
      </c>
      <c r="S19" s="112">
        <v>45976</v>
      </c>
      <c r="T19" s="112">
        <v>45977</v>
      </c>
    </row>
    <row r="20" spans="1:20" ht="30" customHeight="1" thickBot="1" x14ac:dyDescent="0.25">
      <c r="A20" s="119" t="s">
        <v>26</v>
      </c>
      <c r="B20" s="93" t="s">
        <v>27</v>
      </c>
      <c r="C20" s="93" t="s">
        <v>33</v>
      </c>
      <c r="D20" s="93">
        <v>20</v>
      </c>
      <c r="E20" s="94">
        <v>10</v>
      </c>
      <c r="F20" s="94">
        <v>5</v>
      </c>
      <c r="G20" s="90">
        <v>0</v>
      </c>
      <c r="H20" s="94">
        <v>0</v>
      </c>
      <c r="I20" s="94">
        <v>0</v>
      </c>
      <c r="J20" s="94">
        <v>0</v>
      </c>
      <c r="K20" s="94">
        <v>0</v>
      </c>
      <c r="L20" s="94">
        <v>0</v>
      </c>
      <c r="M20" s="94">
        <v>0</v>
      </c>
      <c r="N20" s="94">
        <v>0</v>
      </c>
      <c r="O20" s="94">
        <v>0</v>
      </c>
      <c r="P20" s="94">
        <v>0</v>
      </c>
      <c r="Q20" s="94">
        <v>0</v>
      </c>
      <c r="R20" s="94">
        <v>0</v>
      </c>
      <c r="S20" s="94">
        <v>0</v>
      </c>
      <c r="T20" s="95">
        <v>0</v>
      </c>
    </row>
    <row r="21" spans="1:20" ht="30" customHeight="1" x14ac:dyDescent="0.2">
      <c r="A21" s="119"/>
      <c r="B21" s="93" t="s">
        <v>34</v>
      </c>
      <c r="C21" s="93" t="s">
        <v>47</v>
      </c>
      <c r="D21" s="93">
        <v>8</v>
      </c>
      <c r="E21" s="94">
        <v>4</v>
      </c>
      <c r="F21" s="94">
        <v>2</v>
      </c>
      <c r="G21" s="94">
        <v>1</v>
      </c>
      <c r="H21" s="91">
        <v>0</v>
      </c>
      <c r="I21" s="94">
        <v>0</v>
      </c>
      <c r="J21" s="94">
        <v>0</v>
      </c>
      <c r="K21" s="94">
        <v>0</v>
      </c>
      <c r="L21" s="94">
        <v>0</v>
      </c>
      <c r="M21" s="94">
        <v>0</v>
      </c>
      <c r="N21" s="94">
        <v>0</v>
      </c>
      <c r="O21" s="94">
        <v>0</v>
      </c>
      <c r="P21" s="94">
        <v>0</v>
      </c>
      <c r="Q21" s="94">
        <v>0</v>
      </c>
      <c r="R21" s="94">
        <v>0</v>
      </c>
      <c r="S21" s="94">
        <v>0</v>
      </c>
      <c r="T21" s="95">
        <v>0</v>
      </c>
    </row>
    <row r="22" spans="1:20" ht="30" customHeight="1" x14ac:dyDescent="0.2">
      <c r="A22" s="115" t="s">
        <v>29</v>
      </c>
      <c r="B22" s="93" t="s">
        <v>71</v>
      </c>
      <c r="C22" s="93" t="s">
        <v>72</v>
      </c>
      <c r="D22" s="93">
        <v>12</v>
      </c>
      <c r="E22" s="94">
        <v>6</v>
      </c>
      <c r="F22" s="94">
        <v>4</v>
      </c>
      <c r="G22" s="94">
        <v>2</v>
      </c>
      <c r="H22" s="91">
        <v>0</v>
      </c>
      <c r="I22" s="94">
        <v>0</v>
      </c>
      <c r="J22" s="94">
        <v>0</v>
      </c>
      <c r="K22" s="94">
        <v>0</v>
      </c>
      <c r="L22" s="94">
        <v>0</v>
      </c>
      <c r="M22" s="94">
        <v>0</v>
      </c>
      <c r="N22" s="94">
        <v>0</v>
      </c>
      <c r="O22" s="94">
        <v>0</v>
      </c>
      <c r="P22" s="94">
        <v>0</v>
      </c>
      <c r="Q22" s="94">
        <v>0</v>
      </c>
      <c r="R22" s="94">
        <v>0</v>
      </c>
      <c r="S22" s="94">
        <v>0</v>
      </c>
      <c r="T22" s="95">
        <v>0</v>
      </c>
    </row>
    <row r="23" spans="1:20" ht="30" customHeight="1" x14ac:dyDescent="0.2">
      <c r="A23" s="115"/>
      <c r="B23" s="93" t="s">
        <v>73</v>
      </c>
      <c r="C23" s="93" t="s">
        <v>72</v>
      </c>
      <c r="D23" s="93">
        <v>14</v>
      </c>
      <c r="E23" s="94">
        <v>10</v>
      </c>
      <c r="F23" s="94">
        <v>4</v>
      </c>
      <c r="G23" s="94">
        <v>4</v>
      </c>
      <c r="H23" s="91">
        <v>0</v>
      </c>
      <c r="I23" s="94">
        <v>0</v>
      </c>
      <c r="J23" s="94">
        <v>0</v>
      </c>
      <c r="K23" s="94">
        <v>0</v>
      </c>
      <c r="L23" s="94">
        <v>0</v>
      </c>
      <c r="M23" s="94">
        <v>0</v>
      </c>
      <c r="N23" s="94">
        <v>0</v>
      </c>
      <c r="O23" s="94">
        <v>0</v>
      </c>
      <c r="P23" s="94">
        <v>0</v>
      </c>
      <c r="Q23" s="94">
        <v>0</v>
      </c>
      <c r="R23" s="94">
        <v>0</v>
      </c>
      <c r="S23" s="94">
        <v>0</v>
      </c>
      <c r="T23" s="95">
        <v>0</v>
      </c>
    </row>
    <row r="24" spans="1:20" ht="30" customHeight="1" x14ac:dyDescent="0.2">
      <c r="A24" s="115"/>
      <c r="B24" s="93" t="s">
        <v>74</v>
      </c>
      <c r="C24" s="93" t="s">
        <v>72</v>
      </c>
      <c r="D24" s="93">
        <v>14</v>
      </c>
      <c r="E24" s="94">
        <v>10</v>
      </c>
      <c r="F24" s="94">
        <v>4</v>
      </c>
      <c r="G24" s="94">
        <v>4</v>
      </c>
      <c r="H24" s="91">
        <v>0</v>
      </c>
      <c r="I24" s="94">
        <v>0</v>
      </c>
      <c r="J24" s="94">
        <v>0</v>
      </c>
      <c r="K24" s="94">
        <v>0</v>
      </c>
      <c r="L24" s="94">
        <v>0</v>
      </c>
      <c r="M24" s="94">
        <v>0</v>
      </c>
      <c r="N24" s="94">
        <v>0</v>
      </c>
      <c r="O24" s="94">
        <v>0</v>
      </c>
      <c r="P24" s="94">
        <v>0</v>
      </c>
      <c r="Q24" s="94">
        <v>0</v>
      </c>
      <c r="R24" s="94">
        <v>0</v>
      </c>
      <c r="S24" s="94">
        <v>0</v>
      </c>
      <c r="T24" s="95">
        <v>0</v>
      </c>
    </row>
    <row r="25" spans="1:20" ht="30" customHeight="1" x14ac:dyDescent="0.2">
      <c r="A25" s="115"/>
      <c r="B25" s="93" t="s">
        <v>75</v>
      </c>
      <c r="C25" s="93" t="s">
        <v>72</v>
      </c>
      <c r="D25" s="93">
        <v>16</v>
      </c>
      <c r="E25" s="94">
        <v>14</v>
      </c>
      <c r="F25" s="94">
        <v>10</v>
      </c>
      <c r="G25" s="94">
        <v>6</v>
      </c>
      <c r="H25" s="94">
        <v>4</v>
      </c>
      <c r="I25" s="94">
        <v>2</v>
      </c>
      <c r="J25" s="91">
        <v>0</v>
      </c>
      <c r="K25" s="94">
        <v>0</v>
      </c>
      <c r="L25" s="94">
        <v>0</v>
      </c>
      <c r="M25" s="94">
        <v>0</v>
      </c>
      <c r="N25" s="94">
        <v>0</v>
      </c>
      <c r="O25" s="94">
        <v>0</v>
      </c>
      <c r="P25" s="94">
        <v>0</v>
      </c>
      <c r="Q25" s="94">
        <v>0</v>
      </c>
      <c r="R25" s="94">
        <v>0</v>
      </c>
      <c r="S25" s="94">
        <v>0</v>
      </c>
      <c r="T25" s="95">
        <v>0</v>
      </c>
    </row>
    <row r="26" spans="1:20" ht="30" customHeight="1" x14ac:dyDescent="0.2">
      <c r="A26" s="115"/>
      <c r="B26" s="93" t="s">
        <v>76</v>
      </c>
      <c r="C26" s="93" t="s">
        <v>72</v>
      </c>
      <c r="D26" s="93">
        <v>18</v>
      </c>
      <c r="E26" s="94">
        <v>16</v>
      </c>
      <c r="F26" s="94">
        <v>12</v>
      </c>
      <c r="G26" s="94">
        <v>8</v>
      </c>
      <c r="H26" s="94">
        <v>4</v>
      </c>
      <c r="I26" s="94">
        <v>2</v>
      </c>
      <c r="J26" s="91">
        <v>0</v>
      </c>
      <c r="K26" s="94">
        <v>0</v>
      </c>
      <c r="L26" s="94">
        <v>0</v>
      </c>
      <c r="M26" s="94">
        <v>0</v>
      </c>
      <c r="N26" s="94">
        <v>0</v>
      </c>
      <c r="O26" s="94">
        <v>0</v>
      </c>
      <c r="P26" s="94">
        <v>0</v>
      </c>
      <c r="Q26" s="94">
        <v>0</v>
      </c>
      <c r="R26" s="94">
        <v>0</v>
      </c>
      <c r="S26" s="94">
        <v>0</v>
      </c>
      <c r="T26" s="95">
        <v>0</v>
      </c>
    </row>
    <row r="27" spans="1:20" ht="30" customHeight="1" x14ac:dyDescent="0.2">
      <c r="A27" s="115" t="s">
        <v>37</v>
      </c>
      <c r="B27" s="93" t="s">
        <v>77</v>
      </c>
      <c r="C27" s="93" t="s">
        <v>47</v>
      </c>
      <c r="D27" s="93">
        <v>10</v>
      </c>
      <c r="E27" s="94">
        <v>6</v>
      </c>
      <c r="F27" s="94">
        <v>4</v>
      </c>
      <c r="G27" s="94">
        <v>2</v>
      </c>
      <c r="H27" s="94">
        <v>1</v>
      </c>
      <c r="I27" s="91">
        <v>0</v>
      </c>
      <c r="J27" s="94">
        <v>0</v>
      </c>
      <c r="K27" s="94">
        <v>0</v>
      </c>
      <c r="L27" s="94">
        <v>0</v>
      </c>
      <c r="M27" s="94">
        <v>0</v>
      </c>
      <c r="N27" s="94">
        <v>0</v>
      </c>
      <c r="O27" s="94">
        <v>0</v>
      </c>
      <c r="P27" s="94">
        <v>0</v>
      </c>
      <c r="Q27" s="94">
        <v>0</v>
      </c>
      <c r="R27" s="94">
        <v>0</v>
      </c>
      <c r="S27" s="94">
        <v>0</v>
      </c>
      <c r="T27" s="95">
        <v>0</v>
      </c>
    </row>
    <row r="28" spans="1:20" ht="30" customHeight="1" x14ac:dyDescent="0.2">
      <c r="A28" s="115"/>
      <c r="B28" s="93" t="s">
        <v>73</v>
      </c>
      <c r="C28" s="93" t="s">
        <v>47</v>
      </c>
      <c r="D28" s="93">
        <v>12</v>
      </c>
      <c r="E28" s="94">
        <v>8</v>
      </c>
      <c r="F28" s="94">
        <v>4</v>
      </c>
      <c r="G28" s="94">
        <v>2</v>
      </c>
      <c r="H28" s="94">
        <v>1</v>
      </c>
      <c r="I28" s="91">
        <v>0</v>
      </c>
      <c r="J28" s="94">
        <v>0</v>
      </c>
      <c r="K28" s="94">
        <v>0</v>
      </c>
      <c r="L28" s="94">
        <v>0</v>
      </c>
      <c r="M28" s="94">
        <v>0</v>
      </c>
      <c r="N28" s="94">
        <v>0</v>
      </c>
      <c r="O28" s="94">
        <v>0</v>
      </c>
      <c r="P28" s="94">
        <v>0</v>
      </c>
      <c r="Q28" s="94">
        <v>0</v>
      </c>
      <c r="R28" s="94">
        <v>0</v>
      </c>
      <c r="S28" s="94">
        <v>0</v>
      </c>
      <c r="T28" s="95">
        <v>0</v>
      </c>
    </row>
    <row r="29" spans="1:20" ht="30" customHeight="1" x14ac:dyDescent="0.2">
      <c r="A29" s="115"/>
      <c r="B29" s="93" t="s">
        <v>74</v>
      </c>
      <c r="C29" s="93" t="s">
        <v>78</v>
      </c>
      <c r="D29" s="93">
        <v>14</v>
      </c>
      <c r="E29" s="94">
        <v>14</v>
      </c>
      <c r="F29" s="94">
        <v>12</v>
      </c>
      <c r="G29" s="94">
        <v>8</v>
      </c>
      <c r="H29" s="94">
        <v>4</v>
      </c>
      <c r="I29" s="94">
        <v>2</v>
      </c>
      <c r="J29" s="91">
        <v>0</v>
      </c>
      <c r="K29" s="94">
        <v>0</v>
      </c>
      <c r="L29" s="94">
        <v>0</v>
      </c>
      <c r="M29" s="94">
        <v>0</v>
      </c>
      <c r="N29" s="94">
        <v>0</v>
      </c>
      <c r="O29" s="94">
        <v>0</v>
      </c>
      <c r="P29" s="94">
        <v>0</v>
      </c>
      <c r="Q29" s="94">
        <v>0</v>
      </c>
      <c r="R29" s="94">
        <v>0</v>
      </c>
      <c r="S29" s="94">
        <v>0</v>
      </c>
      <c r="T29" s="95">
        <v>0</v>
      </c>
    </row>
    <row r="30" spans="1:20" ht="30" customHeight="1" x14ac:dyDescent="0.2">
      <c r="A30" s="115"/>
      <c r="B30" s="93" t="s">
        <v>75</v>
      </c>
      <c r="C30" s="93" t="s">
        <v>47</v>
      </c>
      <c r="D30" s="93">
        <v>14</v>
      </c>
      <c r="E30" s="94">
        <v>14</v>
      </c>
      <c r="F30" s="94">
        <v>12</v>
      </c>
      <c r="G30" s="94">
        <v>8</v>
      </c>
      <c r="H30" s="94">
        <v>4</v>
      </c>
      <c r="I30" s="94">
        <v>2</v>
      </c>
      <c r="J30" s="91">
        <v>0</v>
      </c>
      <c r="K30" s="94">
        <v>0</v>
      </c>
      <c r="L30" s="94">
        <v>0</v>
      </c>
      <c r="M30" s="94">
        <v>0</v>
      </c>
      <c r="N30" s="94">
        <v>0</v>
      </c>
      <c r="O30" s="94">
        <v>0</v>
      </c>
      <c r="P30" s="94">
        <v>0</v>
      </c>
      <c r="Q30" s="94">
        <v>0</v>
      </c>
      <c r="R30" s="94">
        <v>0</v>
      </c>
      <c r="S30" s="94">
        <v>0</v>
      </c>
      <c r="T30" s="95">
        <v>0</v>
      </c>
    </row>
    <row r="31" spans="1:20" ht="30" customHeight="1" x14ac:dyDescent="0.2">
      <c r="A31" s="115"/>
      <c r="B31" s="93" t="s">
        <v>76</v>
      </c>
      <c r="C31" s="93" t="s">
        <v>78</v>
      </c>
      <c r="D31" s="93">
        <v>16</v>
      </c>
      <c r="E31" s="94">
        <v>16</v>
      </c>
      <c r="F31" s="94">
        <v>16</v>
      </c>
      <c r="G31" s="94">
        <v>12</v>
      </c>
      <c r="H31" s="94">
        <v>4</v>
      </c>
      <c r="I31" s="94">
        <v>4</v>
      </c>
      <c r="J31" s="94">
        <v>4</v>
      </c>
      <c r="K31" s="91">
        <v>0</v>
      </c>
      <c r="L31" s="94">
        <v>0</v>
      </c>
      <c r="M31" s="94">
        <v>0</v>
      </c>
      <c r="N31" s="94">
        <v>0</v>
      </c>
      <c r="O31" s="94">
        <v>0</v>
      </c>
      <c r="P31" s="94">
        <v>0</v>
      </c>
      <c r="Q31" s="94">
        <v>0</v>
      </c>
      <c r="R31" s="94">
        <v>0</v>
      </c>
      <c r="S31" s="94">
        <v>0</v>
      </c>
      <c r="T31" s="95">
        <v>0</v>
      </c>
    </row>
    <row r="32" spans="1:20" ht="30" customHeight="1" x14ac:dyDescent="0.2">
      <c r="A32" s="115"/>
      <c r="B32" s="93" t="s">
        <v>38</v>
      </c>
      <c r="C32" s="93" t="s">
        <v>72</v>
      </c>
      <c r="D32" s="93">
        <v>12</v>
      </c>
      <c r="E32" s="94">
        <v>12</v>
      </c>
      <c r="F32" s="94">
        <v>12</v>
      </c>
      <c r="G32" s="94">
        <v>10</v>
      </c>
      <c r="H32" s="94">
        <v>4</v>
      </c>
      <c r="I32" s="94">
        <v>4</v>
      </c>
      <c r="J32" s="94">
        <v>2</v>
      </c>
      <c r="K32" s="91">
        <v>0</v>
      </c>
      <c r="L32" s="94">
        <v>0</v>
      </c>
      <c r="M32" s="94">
        <v>0</v>
      </c>
      <c r="N32" s="94">
        <v>0</v>
      </c>
      <c r="O32" s="94">
        <v>0</v>
      </c>
      <c r="P32" s="94">
        <v>0</v>
      </c>
      <c r="Q32" s="94">
        <v>0</v>
      </c>
      <c r="R32" s="94">
        <v>0</v>
      </c>
      <c r="S32" s="94">
        <v>0</v>
      </c>
      <c r="T32" s="95">
        <v>0</v>
      </c>
    </row>
    <row r="33" spans="1:20" ht="30" customHeight="1" x14ac:dyDescent="0.2">
      <c r="A33" s="115" t="s">
        <v>39</v>
      </c>
      <c r="B33" s="93" t="s">
        <v>77</v>
      </c>
      <c r="C33" s="93" t="s">
        <v>53</v>
      </c>
      <c r="D33" s="93">
        <v>14</v>
      </c>
      <c r="E33" s="94">
        <v>14</v>
      </c>
      <c r="F33" s="94">
        <v>14</v>
      </c>
      <c r="G33" s="94">
        <v>12</v>
      </c>
      <c r="H33" s="94">
        <v>8</v>
      </c>
      <c r="I33" s="94">
        <v>4</v>
      </c>
      <c r="J33" s="94">
        <v>2</v>
      </c>
      <c r="K33" s="91">
        <v>0</v>
      </c>
      <c r="L33" s="94">
        <v>0</v>
      </c>
      <c r="M33" s="94">
        <v>0</v>
      </c>
      <c r="N33" s="94">
        <v>0</v>
      </c>
      <c r="O33" s="94">
        <v>0</v>
      </c>
      <c r="P33" s="94">
        <v>0</v>
      </c>
      <c r="Q33" s="94">
        <v>0</v>
      </c>
      <c r="R33" s="94">
        <v>0</v>
      </c>
      <c r="S33" s="94">
        <v>0</v>
      </c>
      <c r="T33" s="95">
        <v>0</v>
      </c>
    </row>
    <row r="34" spans="1:20" ht="30" customHeight="1" x14ac:dyDescent="0.2">
      <c r="A34" s="115"/>
      <c r="B34" s="93" t="s">
        <v>73</v>
      </c>
      <c r="C34" s="93" t="s">
        <v>53</v>
      </c>
      <c r="D34" s="93">
        <v>14</v>
      </c>
      <c r="E34" s="94">
        <v>14</v>
      </c>
      <c r="F34" s="94">
        <v>14</v>
      </c>
      <c r="G34" s="94">
        <v>12</v>
      </c>
      <c r="H34" s="94">
        <v>8</v>
      </c>
      <c r="I34" s="94">
        <v>4</v>
      </c>
      <c r="J34" s="94">
        <v>2</v>
      </c>
      <c r="K34" s="91">
        <v>0</v>
      </c>
      <c r="L34" s="94">
        <v>0</v>
      </c>
      <c r="M34" s="94">
        <v>0</v>
      </c>
      <c r="N34" s="94">
        <v>0</v>
      </c>
      <c r="O34" s="94">
        <v>0</v>
      </c>
      <c r="P34" s="94">
        <v>0</v>
      </c>
      <c r="Q34" s="94">
        <v>0</v>
      </c>
      <c r="R34" s="94">
        <v>0</v>
      </c>
      <c r="S34" s="94">
        <v>0</v>
      </c>
      <c r="T34" s="95">
        <v>0</v>
      </c>
    </row>
    <row r="35" spans="1:20" ht="30" customHeight="1" x14ac:dyDescent="0.2">
      <c r="A35" s="115"/>
      <c r="B35" s="93" t="s">
        <v>74</v>
      </c>
      <c r="C35" s="93" t="s">
        <v>78</v>
      </c>
      <c r="D35" s="93">
        <v>16</v>
      </c>
      <c r="E35" s="94">
        <v>16</v>
      </c>
      <c r="F35" s="94">
        <v>16</v>
      </c>
      <c r="G35" s="94">
        <v>16</v>
      </c>
      <c r="H35" s="94">
        <v>12</v>
      </c>
      <c r="I35" s="94">
        <v>8</v>
      </c>
      <c r="J35" s="94">
        <v>4</v>
      </c>
      <c r="K35" s="94">
        <v>2</v>
      </c>
      <c r="L35" s="91">
        <v>0</v>
      </c>
      <c r="M35" s="94">
        <v>0</v>
      </c>
      <c r="N35" s="94">
        <v>0</v>
      </c>
      <c r="O35" s="94">
        <v>0</v>
      </c>
      <c r="P35" s="94">
        <v>0</v>
      </c>
      <c r="Q35" s="94">
        <v>0</v>
      </c>
      <c r="R35" s="94">
        <v>0</v>
      </c>
      <c r="S35" s="94">
        <v>0</v>
      </c>
      <c r="T35" s="95">
        <v>0</v>
      </c>
    </row>
    <row r="36" spans="1:20" ht="30" customHeight="1" x14ac:dyDescent="0.2">
      <c r="A36" s="115"/>
      <c r="B36" s="93" t="s">
        <v>75</v>
      </c>
      <c r="C36" s="93" t="s">
        <v>79</v>
      </c>
      <c r="D36" s="93">
        <v>18</v>
      </c>
      <c r="E36" s="94">
        <v>18</v>
      </c>
      <c r="F36" s="94">
        <v>18</v>
      </c>
      <c r="G36" s="94">
        <v>18</v>
      </c>
      <c r="H36" s="94">
        <v>14</v>
      </c>
      <c r="I36" s="94">
        <v>10</v>
      </c>
      <c r="J36" s="94">
        <v>6</v>
      </c>
      <c r="K36" s="94">
        <v>4</v>
      </c>
      <c r="L36" s="94">
        <v>2</v>
      </c>
      <c r="M36" s="91">
        <v>0</v>
      </c>
      <c r="N36" s="94">
        <v>0</v>
      </c>
      <c r="O36" s="94">
        <v>0</v>
      </c>
      <c r="P36" s="94">
        <v>0</v>
      </c>
      <c r="Q36" s="94">
        <v>0</v>
      </c>
      <c r="R36" s="94">
        <v>0</v>
      </c>
      <c r="S36" s="94">
        <v>0</v>
      </c>
      <c r="T36" s="95">
        <v>0</v>
      </c>
    </row>
    <row r="37" spans="1:20" ht="30" customHeight="1" x14ac:dyDescent="0.2">
      <c r="A37" s="115"/>
      <c r="B37" s="93" t="s">
        <v>76</v>
      </c>
      <c r="C37" s="93" t="s">
        <v>49</v>
      </c>
      <c r="D37" s="93">
        <v>20</v>
      </c>
      <c r="E37" s="94">
        <v>20</v>
      </c>
      <c r="F37" s="94">
        <v>20</v>
      </c>
      <c r="G37" s="94">
        <v>20</v>
      </c>
      <c r="H37" s="94">
        <v>18</v>
      </c>
      <c r="I37" s="94">
        <v>14</v>
      </c>
      <c r="J37" s="94">
        <v>10</v>
      </c>
      <c r="K37" s="94">
        <v>6</v>
      </c>
      <c r="L37" s="94">
        <v>4</v>
      </c>
      <c r="M37" s="94">
        <v>2</v>
      </c>
      <c r="N37" s="91">
        <v>0</v>
      </c>
      <c r="O37" s="94">
        <v>0</v>
      </c>
      <c r="P37" s="94">
        <v>0</v>
      </c>
      <c r="Q37" s="94">
        <v>0</v>
      </c>
      <c r="R37" s="94">
        <v>0</v>
      </c>
      <c r="S37" s="94">
        <v>0</v>
      </c>
      <c r="T37" s="95">
        <v>0</v>
      </c>
    </row>
    <row r="38" spans="1:20" ht="30" customHeight="1" x14ac:dyDescent="0.2">
      <c r="A38" s="115"/>
      <c r="B38" s="93" t="s">
        <v>46</v>
      </c>
      <c r="C38" s="93" t="s">
        <v>33</v>
      </c>
      <c r="D38" s="93">
        <v>25</v>
      </c>
      <c r="E38" s="94">
        <v>25</v>
      </c>
      <c r="F38" s="94">
        <v>25</v>
      </c>
      <c r="G38" s="94">
        <v>25</v>
      </c>
      <c r="H38" s="94">
        <v>25</v>
      </c>
      <c r="I38" s="94">
        <v>20</v>
      </c>
      <c r="J38" s="94">
        <v>15</v>
      </c>
      <c r="K38" s="94">
        <v>10</v>
      </c>
      <c r="L38" s="94">
        <v>5</v>
      </c>
      <c r="M38" s="94">
        <v>1</v>
      </c>
      <c r="N38" s="91">
        <v>0</v>
      </c>
      <c r="O38" s="94">
        <v>0</v>
      </c>
      <c r="P38" s="94">
        <v>0</v>
      </c>
      <c r="Q38" s="94">
        <v>0</v>
      </c>
      <c r="R38" s="94">
        <v>0</v>
      </c>
      <c r="S38" s="94">
        <v>0</v>
      </c>
      <c r="T38" s="95">
        <v>0</v>
      </c>
    </row>
    <row r="39" spans="1:20" ht="30" customHeight="1" x14ac:dyDescent="0.2">
      <c r="A39" s="115" t="s">
        <v>40</v>
      </c>
      <c r="B39" s="93" t="s">
        <v>77</v>
      </c>
      <c r="C39" s="93" t="s">
        <v>47</v>
      </c>
      <c r="D39" s="93">
        <v>14</v>
      </c>
      <c r="E39" s="94">
        <v>14</v>
      </c>
      <c r="F39" s="94">
        <v>14</v>
      </c>
      <c r="G39" s="94">
        <v>14</v>
      </c>
      <c r="H39" s="94">
        <v>14</v>
      </c>
      <c r="I39" s="94">
        <v>2</v>
      </c>
      <c r="J39" s="94">
        <v>4</v>
      </c>
      <c r="K39" s="94">
        <v>4</v>
      </c>
      <c r="L39" s="94">
        <v>4</v>
      </c>
      <c r="M39" s="91">
        <v>0</v>
      </c>
      <c r="N39" s="94">
        <v>0</v>
      </c>
      <c r="O39" s="94">
        <v>0</v>
      </c>
      <c r="P39" s="94">
        <v>0</v>
      </c>
      <c r="Q39" s="94">
        <v>0</v>
      </c>
      <c r="R39" s="94">
        <v>0</v>
      </c>
      <c r="S39" s="94">
        <v>0</v>
      </c>
      <c r="T39" s="95">
        <v>0</v>
      </c>
    </row>
    <row r="40" spans="1:20" ht="30" customHeight="1" x14ac:dyDescent="0.2">
      <c r="A40" s="115"/>
      <c r="B40" s="93" t="s">
        <v>73</v>
      </c>
      <c r="C40" s="93" t="s">
        <v>78</v>
      </c>
      <c r="D40" s="93">
        <v>16</v>
      </c>
      <c r="E40" s="94">
        <v>16</v>
      </c>
      <c r="F40" s="94">
        <v>16</v>
      </c>
      <c r="G40" s="94">
        <v>16</v>
      </c>
      <c r="H40" s="94">
        <v>16</v>
      </c>
      <c r="I40" s="94">
        <v>14</v>
      </c>
      <c r="J40" s="94">
        <v>10</v>
      </c>
      <c r="K40" s="94">
        <v>6</v>
      </c>
      <c r="L40" s="94">
        <v>2</v>
      </c>
      <c r="M40" s="94">
        <v>1</v>
      </c>
      <c r="N40" s="91">
        <v>0</v>
      </c>
      <c r="O40" s="94">
        <v>0</v>
      </c>
      <c r="P40" s="94">
        <v>0</v>
      </c>
      <c r="Q40" s="94">
        <v>0</v>
      </c>
      <c r="R40" s="94">
        <v>0</v>
      </c>
      <c r="S40" s="94">
        <v>0</v>
      </c>
      <c r="T40" s="95">
        <v>0</v>
      </c>
    </row>
    <row r="41" spans="1:20" ht="30" customHeight="1" x14ac:dyDescent="0.2">
      <c r="A41" s="115"/>
      <c r="B41" s="93" t="s">
        <v>74</v>
      </c>
      <c r="C41" s="93" t="s">
        <v>78</v>
      </c>
      <c r="D41" s="93">
        <v>18</v>
      </c>
      <c r="E41" s="94">
        <v>18</v>
      </c>
      <c r="F41" s="94">
        <v>18</v>
      </c>
      <c r="G41" s="94">
        <v>18</v>
      </c>
      <c r="H41" s="94">
        <v>18</v>
      </c>
      <c r="I41" s="94">
        <v>18</v>
      </c>
      <c r="J41" s="94">
        <v>16</v>
      </c>
      <c r="K41" s="94">
        <v>14</v>
      </c>
      <c r="L41" s="94">
        <v>10</v>
      </c>
      <c r="M41" s="94">
        <v>6</v>
      </c>
      <c r="N41" s="94">
        <v>4</v>
      </c>
      <c r="O41" s="91">
        <v>0</v>
      </c>
      <c r="P41" s="94">
        <v>0</v>
      </c>
      <c r="Q41" s="94">
        <v>0</v>
      </c>
      <c r="R41" s="94">
        <v>0</v>
      </c>
      <c r="S41" s="94">
        <v>0</v>
      </c>
      <c r="T41" s="95">
        <v>0</v>
      </c>
    </row>
    <row r="42" spans="1:20" ht="30" customHeight="1" x14ac:dyDescent="0.2">
      <c r="A42" s="115"/>
      <c r="B42" s="93" t="s">
        <v>75</v>
      </c>
      <c r="C42" s="93" t="s">
        <v>47</v>
      </c>
      <c r="D42" s="93">
        <v>18</v>
      </c>
      <c r="E42" s="94">
        <v>18</v>
      </c>
      <c r="F42" s="94">
        <v>18</v>
      </c>
      <c r="G42" s="94">
        <v>18</v>
      </c>
      <c r="H42" s="94">
        <v>18</v>
      </c>
      <c r="I42" s="94">
        <v>18</v>
      </c>
      <c r="J42" s="94">
        <v>16</v>
      </c>
      <c r="K42" s="94">
        <v>14</v>
      </c>
      <c r="L42" s="94">
        <v>10</v>
      </c>
      <c r="M42" s="94">
        <v>6</v>
      </c>
      <c r="N42" s="94">
        <v>4</v>
      </c>
      <c r="O42" s="91">
        <v>0</v>
      </c>
      <c r="P42" s="94">
        <v>0</v>
      </c>
      <c r="Q42" s="94">
        <v>0</v>
      </c>
      <c r="R42" s="94">
        <v>0</v>
      </c>
      <c r="S42" s="94">
        <v>0</v>
      </c>
      <c r="T42" s="95">
        <v>0</v>
      </c>
    </row>
    <row r="43" spans="1:20" ht="30" customHeight="1" x14ac:dyDescent="0.2">
      <c r="A43" s="115"/>
      <c r="B43" s="93" t="s">
        <v>76</v>
      </c>
      <c r="C43" s="93" t="s">
        <v>47</v>
      </c>
      <c r="D43" s="93">
        <v>20</v>
      </c>
      <c r="E43" s="94">
        <v>20</v>
      </c>
      <c r="F43" s="94">
        <v>20</v>
      </c>
      <c r="G43" s="94">
        <v>20</v>
      </c>
      <c r="H43" s="94">
        <v>20</v>
      </c>
      <c r="I43" s="94">
        <v>20</v>
      </c>
      <c r="J43" s="94">
        <v>20</v>
      </c>
      <c r="K43" s="94">
        <v>16</v>
      </c>
      <c r="L43" s="94">
        <v>12</v>
      </c>
      <c r="M43" s="94">
        <v>8</v>
      </c>
      <c r="N43" s="94">
        <v>4</v>
      </c>
      <c r="O43" s="94">
        <v>1</v>
      </c>
      <c r="P43" s="91">
        <v>0</v>
      </c>
      <c r="Q43" s="94">
        <v>0</v>
      </c>
      <c r="R43" s="94">
        <v>0</v>
      </c>
      <c r="S43" s="94">
        <v>0</v>
      </c>
      <c r="T43" s="95">
        <v>0</v>
      </c>
    </row>
    <row r="44" spans="1:20" ht="30" customHeight="1" x14ac:dyDescent="0.2">
      <c r="A44" s="115" t="s">
        <v>41</v>
      </c>
      <c r="B44" s="93" t="s">
        <v>77</v>
      </c>
      <c r="C44" s="93" t="s">
        <v>80</v>
      </c>
      <c r="D44" s="93">
        <v>12</v>
      </c>
      <c r="E44" s="94">
        <v>12</v>
      </c>
      <c r="F44" s="94">
        <v>12</v>
      </c>
      <c r="G44" s="94">
        <v>12</v>
      </c>
      <c r="H44" s="94">
        <v>12</v>
      </c>
      <c r="I44" s="94">
        <v>12</v>
      </c>
      <c r="J44" s="94">
        <v>12</v>
      </c>
      <c r="K44" s="94">
        <v>10</v>
      </c>
      <c r="L44" s="94">
        <v>6</v>
      </c>
      <c r="M44" s="94">
        <v>2</v>
      </c>
      <c r="N44" s="94">
        <v>1</v>
      </c>
      <c r="O44" s="91">
        <v>0</v>
      </c>
      <c r="P44" s="94">
        <v>0</v>
      </c>
      <c r="Q44" s="94">
        <v>0</v>
      </c>
      <c r="R44" s="94">
        <v>0</v>
      </c>
      <c r="S44" s="94">
        <v>0</v>
      </c>
      <c r="T44" s="95">
        <v>0</v>
      </c>
    </row>
    <row r="45" spans="1:20" ht="30" customHeight="1" x14ac:dyDescent="0.2">
      <c r="A45" s="115"/>
      <c r="B45" s="93" t="s">
        <v>73</v>
      </c>
      <c r="C45" s="93" t="s">
        <v>47</v>
      </c>
      <c r="D45" s="93">
        <v>14</v>
      </c>
      <c r="E45" s="94">
        <v>14</v>
      </c>
      <c r="F45" s="94">
        <v>14</v>
      </c>
      <c r="G45" s="94">
        <v>14</v>
      </c>
      <c r="H45" s="94">
        <v>14</v>
      </c>
      <c r="I45" s="94">
        <v>14</v>
      </c>
      <c r="J45" s="94">
        <v>14</v>
      </c>
      <c r="K45" s="94">
        <v>12</v>
      </c>
      <c r="L45" s="94">
        <v>8</v>
      </c>
      <c r="M45" s="94">
        <v>4</v>
      </c>
      <c r="N45" s="94">
        <v>2</v>
      </c>
      <c r="O45" s="91">
        <v>0</v>
      </c>
      <c r="P45" s="94">
        <v>0</v>
      </c>
      <c r="Q45" s="94">
        <v>0</v>
      </c>
      <c r="R45" s="94">
        <v>0</v>
      </c>
      <c r="S45" s="94">
        <v>0</v>
      </c>
      <c r="T45" s="95">
        <v>0</v>
      </c>
    </row>
    <row r="46" spans="1:20" ht="30" customHeight="1" x14ac:dyDescent="0.2">
      <c r="A46" s="115"/>
      <c r="B46" s="93" t="s">
        <v>74</v>
      </c>
      <c r="C46" s="93" t="s">
        <v>79</v>
      </c>
      <c r="D46" s="93">
        <v>16</v>
      </c>
      <c r="E46" s="94">
        <v>16</v>
      </c>
      <c r="F46" s="94">
        <v>16</v>
      </c>
      <c r="G46" s="94">
        <v>16</v>
      </c>
      <c r="H46" s="94">
        <v>16</v>
      </c>
      <c r="I46" s="94">
        <v>16</v>
      </c>
      <c r="J46" s="94">
        <v>16</v>
      </c>
      <c r="K46" s="94">
        <v>16</v>
      </c>
      <c r="L46" s="94">
        <v>14</v>
      </c>
      <c r="M46" s="94">
        <v>10</v>
      </c>
      <c r="N46" s="94">
        <v>6</v>
      </c>
      <c r="O46" s="94">
        <v>4</v>
      </c>
      <c r="P46" s="94">
        <v>2</v>
      </c>
      <c r="Q46" s="91">
        <v>0</v>
      </c>
      <c r="R46" s="94">
        <v>0</v>
      </c>
      <c r="S46" s="94">
        <v>0</v>
      </c>
      <c r="T46" s="95">
        <v>0</v>
      </c>
    </row>
    <row r="47" spans="1:20" ht="30" customHeight="1" x14ac:dyDescent="0.2">
      <c r="A47" s="115"/>
      <c r="B47" s="93" t="s">
        <v>75</v>
      </c>
      <c r="C47" s="93" t="s">
        <v>78</v>
      </c>
      <c r="D47" s="93">
        <v>18</v>
      </c>
      <c r="E47" s="94">
        <v>18</v>
      </c>
      <c r="F47" s="94">
        <v>18</v>
      </c>
      <c r="G47" s="94">
        <v>18</v>
      </c>
      <c r="H47" s="94">
        <v>18</v>
      </c>
      <c r="I47" s="94">
        <v>18</v>
      </c>
      <c r="J47" s="94">
        <v>18</v>
      </c>
      <c r="K47" s="94">
        <v>18</v>
      </c>
      <c r="L47" s="94">
        <v>16</v>
      </c>
      <c r="M47" s="94">
        <v>12</v>
      </c>
      <c r="N47" s="94">
        <v>8</v>
      </c>
      <c r="O47" s="94">
        <v>4</v>
      </c>
      <c r="P47" s="94">
        <v>1</v>
      </c>
      <c r="Q47" s="91">
        <v>0</v>
      </c>
      <c r="R47" s="94">
        <v>0</v>
      </c>
      <c r="S47" s="94">
        <v>0</v>
      </c>
      <c r="T47" s="95">
        <v>0</v>
      </c>
    </row>
    <row r="48" spans="1:20" ht="30" customHeight="1" x14ac:dyDescent="0.2">
      <c r="A48" s="115"/>
      <c r="B48" s="93" t="s">
        <v>76</v>
      </c>
      <c r="C48" s="93" t="s">
        <v>49</v>
      </c>
      <c r="D48" s="93">
        <v>20</v>
      </c>
      <c r="E48" s="94">
        <v>20</v>
      </c>
      <c r="F48" s="94">
        <v>20</v>
      </c>
      <c r="G48" s="94">
        <v>20</v>
      </c>
      <c r="H48" s="94">
        <v>20</v>
      </c>
      <c r="I48" s="94">
        <v>20</v>
      </c>
      <c r="J48" s="94">
        <v>20</v>
      </c>
      <c r="K48" s="94">
        <v>20</v>
      </c>
      <c r="L48" s="94">
        <v>20</v>
      </c>
      <c r="M48" s="94">
        <v>18</v>
      </c>
      <c r="N48" s="94">
        <v>14</v>
      </c>
      <c r="O48" s="94">
        <v>10</v>
      </c>
      <c r="P48" s="94">
        <v>6</v>
      </c>
      <c r="Q48" s="94">
        <v>2</v>
      </c>
      <c r="R48" s="94">
        <v>1</v>
      </c>
      <c r="S48" s="91">
        <v>0</v>
      </c>
      <c r="T48" s="95">
        <v>0</v>
      </c>
    </row>
    <row r="49" spans="1:20" ht="30" customHeight="1" x14ac:dyDescent="0.2">
      <c r="A49" s="115" t="s">
        <v>42</v>
      </c>
      <c r="B49" s="93" t="s">
        <v>77</v>
      </c>
      <c r="C49" s="93" t="s">
        <v>47</v>
      </c>
      <c r="D49" s="93">
        <v>12</v>
      </c>
      <c r="E49" s="94">
        <v>12</v>
      </c>
      <c r="F49" s="94">
        <v>12</v>
      </c>
      <c r="G49" s="94">
        <v>12</v>
      </c>
      <c r="H49" s="94">
        <v>12</v>
      </c>
      <c r="I49" s="94">
        <v>12</v>
      </c>
      <c r="J49" s="94">
        <v>12</v>
      </c>
      <c r="K49" s="94">
        <v>12</v>
      </c>
      <c r="L49" s="94">
        <v>12</v>
      </c>
      <c r="M49" s="94">
        <v>10</v>
      </c>
      <c r="N49" s="94">
        <v>6</v>
      </c>
      <c r="O49" s="94">
        <v>2</v>
      </c>
      <c r="P49" s="94">
        <v>1</v>
      </c>
      <c r="Q49" s="91">
        <v>0</v>
      </c>
      <c r="R49" s="94">
        <v>0</v>
      </c>
      <c r="S49" s="94">
        <v>0</v>
      </c>
      <c r="T49" s="95">
        <v>0</v>
      </c>
    </row>
    <row r="50" spans="1:20" ht="30" customHeight="1" x14ac:dyDescent="0.2">
      <c r="A50" s="115"/>
      <c r="B50" s="93" t="s">
        <v>73</v>
      </c>
      <c r="C50" s="93" t="s">
        <v>78</v>
      </c>
      <c r="D50" s="93">
        <v>14</v>
      </c>
      <c r="E50" s="94">
        <v>14</v>
      </c>
      <c r="F50" s="94">
        <v>14</v>
      </c>
      <c r="G50" s="94">
        <v>14</v>
      </c>
      <c r="H50" s="94">
        <v>14</v>
      </c>
      <c r="I50" s="94">
        <v>14</v>
      </c>
      <c r="J50" s="94">
        <v>14</v>
      </c>
      <c r="K50" s="94">
        <v>14</v>
      </c>
      <c r="L50" s="94">
        <v>14</v>
      </c>
      <c r="M50" s="94">
        <v>12</v>
      </c>
      <c r="N50" s="94">
        <v>8</v>
      </c>
      <c r="O50" s="94">
        <v>4</v>
      </c>
      <c r="P50" s="94">
        <v>1</v>
      </c>
      <c r="Q50" s="91">
        <v>0</v>
      </c>
      <c r="R50" s="94">
        <v>0</v>
      </c>
      <c r="S50" s="94">
        <v>0</v>
      </c>
      <c r="T50" s="95">
        <v>0</v>
      </c>
    </row>
    <row r="51" spans="1:20" ht="30" customHeight="1" x14ac:dyDescent="0.2">
      <c r="A51" s="115"/>
      <c r="B51" s="93" t="s">
        <v>74</v>
      </c>
      <c r="C51" s="93" t="s">
        <v>78</v>
      </c>
      <c r="D51" s="93">
        <v>16</v>
      </c>
      <c r="E51" s="94">
        <v>16</v>
      </c>
      <c r="F51" s="94">
        <v>16</v>
      </c>
      <c r="G51" s="94">
        <v>16</v>
      </c>
      <c r="H51" s="94">
        <v>16</v>
      </c>
      <c r="I51" s="94">
        <v>16</v>
      </c>
      <c r="J51" s="94">
        <v>16</v>
      </c>
      <c r="K51" s="94">
        <v>16</v>
      </c>
      <c r="L51" s="94">
        <v>16</v>
      </c>
      <c r="M51" s="94">
        <v>16</v>
      </c>
      <c r="N51" s="94">
        <v>14</v>
      </c>
      <c r="O51" s="94">
        <v>10</v>
      </c>
      <c r="P51" s="94">
        <v>6</v>
      </c>
      <c r="Q51" s="94">
        <v>2</v>
      </c>
      <c r="R51" s="94">
        <v>1</v>
      </c>
      <c r="S51" s="91">
        <v>0</v>
      </c>
      <c r="T51" s="95">
        <v>0</v>
      </c>
    </row>
    <row r="52" spans="1:20" ht="30" customHeight="1" x14ac:dyDescent="0.2">
      <c r="A52" s="115"/>
      <c r="B52" s="93" t="s">
        <v>75</v>
      </c>
      <c r="C52" s="93" t="s">
        <v>81</v>
      </c>
      <c r="D52" s="93">
        <v>18</v>
      </c>
      <c r="E52" s="94">
        <v>18</v>
      </c>
      <c r="F52" s="94">
        <v>18</v>
      </c>
      <c r="G52" s="94">
        <v>18</v>
      </c>
      <c r="H52" s="94">
        <v>18</v>
      </c>
      <c r="I52" s="94">
        <v>18</v>
      </c>
      <c r="J52" s="94">
        <v>18</v>
      </c>
      <c r="K52" s="94">
        <v>18</v>
      </c>
      <c r="L52" s="94">
        <v>18</v>
      </c>
      <c r="M52" s="94">
        <v>18</v>
      </c>
      <c r="N52" s="94">
        <v>16</v>
      </c>
      <c r="O52" s="94">
        <v>12</v>
      </c>
      <c r="P52" s="94">
        <v>8</v>
      </c>
      <c r="Q52" s="94">
        <v>4</v>
      </c>
      <c r="R52" s="94">
        <v>1</v>
      </c>
      <c r="S52" s="91">
        <v>0</v>
      </c>
      <c r="T52" s="95">
        <v>0</v>
      </c>
    </row>
    <row r="53" spans="1:20" ht="30" customHeight="1" x14ac:dyDescent="0.2">
      <c r="A53" s="115"/>
      <c r="B53" s="93" t="s">
        <v>76</v>
      </c>
      <c r="C53" s="93" t="s">
        <v>50</v>
      </c>
      <c r="D53" s="93">
        <v>20</v>
      </c>
      <c r="E53" s="94">
        <v>20</v>
      </c>
      <c r="F53" s="94">
        <v>20</v>
      </c>
      <c r="G53" s="94">
        <v>20</v>
      </c>
      <c r="H53" s="94">
        <v>20</v>
      </c>
      <c r="I53" s="94">
        <v>20</v>
      </c>
      <c r="J53" s="94">
        <v>20</v>
      </c>
      <c r="K53" s="94">
        <v>20</v>
      </c>
      <c r="L53" s="94">
        <v>20</v>
      </c>
      <c r="M53" s="94">
        <v>20</v>
      </c>
      <c r="N53" s="94">
        <v>20</v>
      </c>
      <c r="O53" s="94">
        <v>18</v>
      </c>
      <c r="P53" s="94">
        <v>14</v>
      </c>
      <c r="Q53" s="94">
        <v>10</v>
      </c>
      <c r="R53" s="94">
        <v>6</v>
      </c>
      <c r="S53" s="94">
        <v>4</v>
      </c>
      <c r="T53" s="92">
        <v>0</v>
      </c>
    </row>
    <row r="54" spans="1:20" ht="30" customHeight="1" x14ac:dyDescent="0.2">
      <c r="A54" s="115" t="s">
        <v>82</v>
      </c>
      <c r="B54" s="93" t="s">
        <v>44</v>
      </c>
      <c r="C54" s="93" t="s">
        <v>33</v>
      </c>
      <c r="D54" s="93">
        <v>12</v>
      </c>
      <c r="E54" s="94">
        <v>12</v>
      </c>
      <c r="F54" s="94">
        <v>12</v>
      </c>
      <c r="G54" s="94">
        <v>12</v>
      </c>
      <c r="H54" s="94">
        <v>12</v>
      </c>
      <c r="I54" s="94">
        <v>12</v>
      </c>
      <c r="J54" s="94">
        <v>12</v>
      </c>
      <c r="K54" s="94">
        <v>12</v>
      </c>
      <c r="L54" s="94">
        <v>12</v>
      </c>
      <c r="M54" s="94">
        <v>12</v>
      </c>
      <c r="N54" s="94">
        <v>12</v>
      </c>
      <c r="O54" s="94">
        <v>12</v>
      </c>
      <c r="P54" s="94">
        <v>10</v>
      </c>
      <c r="Q54" s="94">
        <v>6</v>
      </c>
      <c r="R54" s="94">
        <v>4</v>
      </c>
      <c r="S54" s="94">
        <v>2</v>
      </c>
      <c r="T54" s="92">
        <v>0</v>
      </c>
    </row>
    <row r="55" spans="1:20" ht="30" customHeight="1" x14ac:dyDescent="0.2">
      <c r="A55" s="115"/>
      <c r="B55" s="93" t="s">
        <v>45</v>
      </c>
      <c r="C55" s="93" t="s">
        <v>33</v>
      </c>
      <c r="D55" s="93">
        <v>10</v>
      </c>
      <c r="E55" s="94">
        <v>10</v>
      </c>
      <c r="F55" s="94">
        <v>10</v>
      </c>
      <c r="G55" s="94">
        <v>10</v>
      </c>
      <c r="H55" s="94">
        <v>10</v>
      </c>
      <c r="I55" s="94">
        <v>10</v>
      </c>
      <c r="J55" s="94">
        <v>10</v>
      </c>
      <c r="K55" s="94">
        <v>10</v>
      </c>
      <c r="L55" s="94">
        <v>10</v>
      </c>
      <c r="M55" s="94">
        <v>10</v>
      </c>
      <c r="N55" s="94">
        <v>10</v>
      </c>
      <c r="O55" s="94">
        <v>10</v>
      </c>
      <c r="P55" s="94">
        <v>10</v>
      </c>
      <c r="Q55" s="94">
        <v>8</v>
      </c>
      <c r="R55" s="94">
        <v>4</v>
      </c>
      <c r="S55" s="94">
        <v>2</v>
      </c>
      <c r="T55" s="92">
        <v>0</v>
      </c>
    </row>
    <row r="56" spans="1:20" ht="30" customHeight="1" thickBot="1" x14ac:dyDescent="0.25">
      <c r="A56" s="116" t="s">
        <v>57</v>
      </c>
      <c r="B56" s="120"/>
      <c r="C56" s="121"/>
      <c r="D56" s="96">
        <f t="shared" ref="D56:T56" si="0" xml:space="preserve"> SUM(D20:D55)</f>
        <v>555</v>
      </c>
      <c r="E56" s="96">
        <f t="shared" si="0"/>
        <v>515</v>
      </c>
      <c r="F56" s="96">
        <f t="shared" si="0"/>
        <v>476</v>
      </c>
      <c r="G56" s="96">
        <f t="shared" si="0"/>
        <v>438</v>
      </c>
      <c r="H56" s="96">
        <f t="shared" si="0"/>
        <v>379</v>
      </c>
      <c r="I56" s="96">
        <f t="shared" si="0"/>
        <v>330</v>
      </c>
      <c r="J56" s="96">
        <f t="shared" si="0"/>
        <v>293</v>
      </c>
      <c r="K56" s="96">
        <f t="shared" si="0"/>
        <v>254</v>
      </c>
      <c r="L56" s="96">
        <f t="shared" si="0"/>
        <v>215</v>
      </c>
      <c r="M56" s="96">
        <f t="shared" si="0"/>
        <v>168</v>
      </c>
      <c r="N56" s="96">
        <f t="shared" si="0"/>
        <v>129</v>
      </c>
      <c r="O56" s="96">
        <f t="shared" si="0"/>
        <v>87</v>
      </c>
      <c r="P56" s="96">
        <f t="shared" si="0"/>
        <v>59</v>
      </c>
      <c r="Q56" s="96">
        <f t="shared" si="0"/>
        <v>32</v>
      </c>
      <c r="R56" s="96">
        <f t="shared" si="0"/>
        <v>17</v>
      </c>
      <c r="S56" s="96">
        <f t="shared" si="0"/>
        <v>8</v>
      </c>
      <c r="T56" s="97">
        <f t="shared" si="0"/>
        <v>0</v>
      </c>
    </row>
    <row r="57" spans="1:20" x14ac:dyDescent="0.2">
      <c r="T57" s="67"/>
    </row>
    <row r="59" spans="1:20" ht="36" customHeight="1" x14ac:dyDescent="0.2">
      <c r="A59" s="122" t="s">
        <v>58</v>
      </c>
      <c r="B59" s="122"/>
      <c r="C59" s="122"/>
    </row>
    <row r="61" spans="1:20" ht="16" thickBot="1" x14ac:dyDescent="0.25"/>
    <row r="62" spans="1:20" ht="30" customHeight="1" thickBot="1" x14ac:dyDescent="0.25">
      <c r="A62" s="99" t="s">
        <v>24</v>
      </c>
      <c r="B62" s="100" t="s">
        <v>17</v>
      </c>
      <c r="C62" s="100" t="s">
        <v>25</v>
      </c>
      <c r="D62" s="100" t="s">
        <v>59</v>
      </c>
      <c r="E62" s="112">
        <v>45962</v>
      </c>
      <c r="F62" s="112">
        <v>45963</v>
      </c>
      <c r="G62" s="112">
        <v>45964</v>
      </c>
      <c r="H62" s="112">
        <v>45965</v>
      </c>
      <c r="I62" s="112">
        <v>45966</v>
      </c>
      <c r="J62" s="112">
        <v>45967</v>
      </c>
      <c r="K62" s="112">
        <v>45968</v>
      </c>
      <c r="L62" s="112">
        <v>45969</v>
      </c>
      <c r="M62" s="112">
        <v>45970</v>
      </c>
      <c r="N62" s="112">
        <v>45971</v>
      </c>
      <c r="O62" s="112">
        <v>45972</v>
      </c>
      <c r="P62" s="112">
        <v>45973</v>
      </c>
      <c r="Q62" s="112">
        <v>45974</v>
      </c>
      <c r="R62" s="112">
        <v>45975</v>
      </c>
      <c r="S62" s="112">
        <v>45976</v>
      </c>
      <c r="T62" s="112">
        <v>45977</v>
      </c>
    </row>
    <row r="63" spans="1:20" ht="30" customHeight="1" thickBot="1" x14ac:dyDescent="0.25">
      <c r="A63" s="119" t="s">
        <v>26</v>
      </c>
      <c r="B63" s="98" t="s">
        <v>27</v>
      </c>
      <c r="C63" s="98" t="s">
        <v>33</v>
      </c>
      <c r="D63" s="98">
        <v>20</v>
      </c>
      <c r="E63" s="106">
        <v>10</v>
      </c>
      <c r="F63" s="106">
        <v>5</v>
      </c>
      <c r="G63" s="69">
        <v>0</v>
      </c>
      <c r="H63" s="106">
        <v>0</v>
      </c>
      <c r="I63" s="106">
        <v>0</v>
      </c>
      <c r="J63" s="106">
        <v>0</v>
      </c>
      <c r="K63" s="106">
        <v>0</v>
      </c>
      <c r="L63" s="106">
        <v>0</v>
      </c>
      <c r="M63" s="106">
        <v>0</v>
      </c>
      <c r="N63" s="106">
        <v>0</v>
      </c>
      <c r="O63" s="106">
        <v>0</v>
      </c>
      <c r="P63" s="106">
        <v>0</v>
      </c>
      <c r="Q63" s="106">
        <v>0</v>
      </c>
      <c r="R63" s="106">
        <v>0</v>
      </c>
      <c r="S63" s="106">
        <v>0</v>
      </c>
      <c r="T63" s="107">
        <v>0</v>
      </c>
    </row>
    <row r="64" spans="1:20" ht="30" customHeight="1" x14ac:dyDescent="0.2">
      <c r="A64" s="119"/>
      <c r="B64" s="98" t="s">
        <v>34</v>
      </c>
      <c r="C64" s="98" t="s">
        <v>47</v>
      </c>
      <c r="D64" s="98">
        <v>8</v>
      </c>
      <c r="E64" s="106">
        <v>4</v>
      </c>
      <c r="F64" s="106">
        <v>2</v>
      </c>
      <c r="G64" s="106">
        <v>1</v>
      </c>
      <c r="H64" s="68">
        <v>0</v>
      </c>
      <c r="I64" s="106">
        <v>0</v>
      </c>
      <c r="J64" s="106">
        <v>0</v>
      </c>
      <c r="K64" s="106">
        <v>0</v>
      </c>
      <c r="L64" s="106">
        <v>0</v>
      </c>
      <c r="M64" s="106">
        <v>0</v>
      </c>
      <c r="N64" s="106">
        <v>0</v>
      </c>
      <c r="O64" s="106">
        <v>0</v>
      </c>
      <c r="P64" s="106">
        <v>0</v>
      </c>
      <c r="Q64" s="106">
        <v>0</v>
      </c>
      <c r="R64" s="106">
        <v>0</v>
      </c>
      <c r="S64" s="106">
        <v>0</v>
      </c>
      <c r="T64" s="107">
        <v>0</v>
      </c>
    </row>
    <row r="65" spans="1:20" ht="30" customHeight="1" x14ac:dyDescent="0.2">
      <c r="A65" s="115" t="s">
        <v>29</v>
      </c>
      <c r="B65" s="98" t="s">
        <v>71</v>
      </c>
      <c r="C65" s="98" t="s">
        <v>72</v>
      </c>
      <c r="D65" s="98">
        <v>12</v>
      </c>
      <c r="E65" s="106">
        <v>6</v>
      </c>
      <c r="F65" s="106">
        <v>4</v>
      </c>
      <c r="G65" s="106">
        <v>2</v>
      </c>
      <c r="H65" s="68">
        <v>0</v>
      </c>
      <c r="I65" s="106">
        <v>0</v>
      </c>
      <c r="J65" s="106">
        <v>0</v>
      </c>
      <c r="K65" s="106">
        <v>0</v>
      </c>
      <c r="L65" s="106">
        <v>0</v>
      </c>
      <c r="M65" s="106">
        <v>0</v>
      </c>
      <c r="N65" s="106">
        <v>0</v>
      </c>
      <c r="O65" s="106">
        <v>0</v>
      </c>
      <c r="P65" s="106">
        <v>0</v>
      </c>
      <c r="Q65" s="106">
        <v>0</v>
      </c>
      <c r="R65" s="106">
        <v>0</v>
      </c>
      <c r="S65" s="106">
        <v>0</v>
      </c>
      <c r="T65" s="107">
        <v>0</v>
      </c>
    </row>
    <row r="66" spans="1:20" ht="30" customHeight="1" x14ac:dyDescent="0.2">
      <c r="A66" s="115"/>
      <c r="B66" s="98" t="s">
        <v>73</v>
      </c>
      <c r="C66" s="98" t="s">
        <v>72</v>
      </c>
      <c r="D66" s="98">
        <v>14</v>
      </c>
      <c r="E66" s="106">
        <v>10</v>
      </c>
      <c r="F66" s="106">
        <v>4</v>
      </c>
      <c r="G66" s="106">
        <v>4</v>
      </c>
      <c r="H66" s="68">
        <v>0</v>
      </c>
      <c r="I66" s="106">
        <v>0</v>
      </c>
      <c r="J66" s="106">
        <v>0</v>
      </c>
      <c r="K66" s="106">
        <v>0</v>
      </c>
      <c r="L66" s="106">
        <v>0</v>
      </c>
      <c r="M66" s="106">
        <v>0</v>
      </c>
      <c r="N66" s="106">
        <v>0</v>
      </c>
      <c r="O66" s="106">
        <v>0</v>
      </c>
      <c r="P66" s="106">
        <v>0</v>
      </c>
      <c r="Q66" s="106">
        <v>0</v>
      </c>
      <c r="R66" s="106">
        <v>0</v>
      </c>
      <c r="S66" s="106">
        <v>0</v>
      </c>
      <c r="T66" s="107">
        <v>0</v>
      </c>
    </row>
    <row r="67" spans="1:20" ht="30" customHeight="1" x14ac:dyDescent="0.2">
      <c r="A67" s="115"/>
      <c r="B67" s="98" t="s">
        <v>74</v>
      </c>
      <c r="C67" s="98" t="s">
        <v>72</v>
      </c>
      <c r="D67" s="98">
        <v>14</v>
      </c>
      <c r="E67" s="106">
        <v>10</v>
      </c>
      <c r="F67" s="106">
        <v>4</v>
      </c>
      <c r="G67" s="106">
        <v>4</v>
      </c>
      <c r="H67" s="68">
        <v>0</v>
      </c>
      <c r="I67" s="106">
        <v>0</v>
      </c>
      <c r="J67" s="106">
        <v>0</v>
      </c>
      <c r="K67" s="106">
        <v>0</v>
      </c>
      <c r="L67" s="106">
        <v>0</v>
      </c>
      <c r="M67" s="106">
        <v>0</v>
      </c>
      <c r="N67" s="106">
        <v>0</v>
      </c>
      <c r="O67" s="106">
        <v>0</v>
      </c>
      <c r="P67" s="106">
        <v>0</v>
      </c>
      <c r="Q67" s="106">
        <v>0</v>
      </c>
      <c r="R67" s="106">
        <v>0</v>
      </c>
      <c r="S67" s="106">
        <v>0</v>
      </c>
      <c r="T67" s="107">
        <v>0</v>
      </c>
    </row>
    <row r="68" spans="1:20" ht="30" customHeight="1" x14ac:dyDescent="0.2">
      <c r="A68" s="115"/>
      <c r="B68" s="98" t="s">
        <v>75</v>
      </c>
      <c r="C68" s="98" t="s">
        <v>72</v>
      </c>
      <c r="D68" s="98">
        <v>16</v>
      </c>
      <c r="E68" s="106">
        <v>14</v>
      </c>
      <c r="F68" s="106">
        <v>10</v>
      </c>
      <c r="G68" s="106">
        <v>6</v>
      </c>
      <c r="H68" s="106">
        <v>4</v>
      </c>
      <c r="I68" s="106">
        <v>2</v>
      </c>
      <c r="J68" s="68">
        <v>0</v>
      </c>
      <c r="K68" s="106">
        <v>0</v>
      </c>
      <c r="L68" s="106">
        <v>0</v>
      </c>
      <c r="M68" s="106">
        <v>0</v>
      </c>
      <c r="N68" s="106">
        <v>0</v>
      </c>
      <c r="O68" s="106">
        <v>0</v>
      </c>
      <c r="P68" s="106">
        <v>0</v>
      </c>
      <c r="Q68" s="106">
        <v>0</v>
      </c>
      <c r="R68" s="106">
        <v>0</v>
      </c>
      <c r="S68" s="106">
        <v>0</v>
      </c>
      <c r="T68" s="107">
        <v>0</v>
      </c>
    </row>
    <row r="69" spans="1:20" ht="30" customHeight="1" x14ac:dyDescent="0.2">
      <c r="A69" s="115"/>
      <c r="B69" s="98" t="s">
        <v>76</v>
      </c>
      <c r="C69" s="98" t="s">
        <v>72</v>
      </c>
      <c r="D69" s="98">
        <v>18</v>
      </c>
      <c r="E69" s="106">
        <v>16</v>
      </c>
      <c r="F69" s="106">
        <v>12</v>
      </c>
      <c r="G69" s="106">
        <v>8</v>
      </c>
      <c r="H69" s="106">
        <v>4</v>
      </c>
      <c r="I69" s="106">
        <v>2</v>
      </c>
      <c r="J69" s="68">
        <v>0</v>
      </c>
      <c r="K69" s="106">
        <v>0</v>
      </c>
      <c r="L69" s="106">
        <v>0</v>
      </c>
      <c r="M69" s="106">
        <v>0</v>
      </c>
      <c r="N69" s="106">
        <v>0</v>
      </c>
      <c r="O69" s="106">
        <v>0</v>
      </c>
      <c r="P69" s="106">
        <v>0</v>
      </c>
      <c r="Q69" s="106">
        <v>0</v>
      </c>
      <c r="R69" s="106">
        <v>0</v>
      </c>
      <c r="S69" s="106">
        <v>0</v>
      </c>
      <c r="T69" s="107">
        <v>0</v>
      </c>
    </row>
    <row r="70" spans="1:20" ht="30" customHeight="1" x14ac:dyDescent="0.2">
      <c r="A70" s="115" t="s">
        <v>37</v>
      </c>
      <c r="B70" s="98" t="s">
        <v>77</v>
      </c>
      <c r="C70" s="98" t="s">
        <v>47</v>
      </c>
      <c r="D70" s="98">
        <v>10</v>
      </c>
      <c r="E70" s="106">
        <v>6</v>
      </c>
      <c r="F70" s="106">
        <v>4</v>
      </c>
      <c r="G70" s="106">
        <v>2</v>
      </c>
      <c r="H70" s="106">
        <v>1</v>
      </c>
      <c r="I70" s="68">
        <v>0</v>
      </c>
      <c r="J70" s="106">
        <v>0</v>
      </c>
      <c r="K70" s="106">
        <v>0</v>
      </c>
      <c r="L70" s="106">
        <v>0</v>
      </c>
      <c r="M70" s="106">
        <v>0</v>
      </c>
      <c r="N70" s="106">
        <v>0</v>
      </c>
      <c r="O70" s="106">
        <v>0</v>
      </c>
      <c r="P70" s="106">
        <v>0</v>
      </c>
      <c r="Q70" s="106">
        <v>0</v>
      </c>
      <c r="R70" s="106">
        <v>0</v>
      </c>
      <c r="S70" s="106">
        <v>0</v>
      </c>
      <c r="T70" s="107">
        <v>0</v>
      </c>
    </row>
    <row r="71" spans="1:20" ht="30" customHeight="1" x14ac:dyDescent="0.2">
      <c r="A71" s="115"/>
      <c r="B71" s="98" t="s">
        <v>73</v>
      </c>
      <c r="C71" s="98" t="s">
        <v>47</v>
      </c>
      <c r="D71" s="98">
        <v>12</v>
      </c>
      <c r="E71" s="106">
        <v>8</v>
      </c>
      <c r="F71" s="106">
        <v>4</v>
      </c>
      <c r="G71" s="106">
        <v>2</v>
      </c>
      <c r="H71" s="106">
        <v>1</v>
      </c>
      <c r="I71" s="68">
        <v>0</v>
      </c>
      <c r="J71" s="106">
        <v>0</v>
      </c>
      <c r="K71" s="106">
        <v>0</v>
      </c>
      <c r="L71" s="106">
        <v>0</v>
      </c>
      <c r="M71" s="106">
        <v>0</v>
      </c>
      <c r="N71" s="106">
        <v>0</v>
      </c>
      <c r="O71" s="106">
        <v>0</v>
      </c>
      <c r="P71" s="106">
        <v>0</v>
      </c>
      <c r="Q71" s="106">
        <v>0</v>
      </c>
      <c r="R71" s="106">
        <v>0</v>
      </c>
      <c r="S71" s="106">
        <v>0</v>
      </c>
      <c r="T71" s="107">
        <v>0</v>
      </c>
    </row>
    <row r="72" spans="1:20" ht="30" customHeight="1" x14ac:dyDescent="0.2">
      <c r="A72" s="115"/>
      <c r="B72" s="98" t="s">
        <v>74</v>
      </c>
      <c r="C72" s="98" t="s">
        <v>78</v>
      </c>
      <c r="D72" s="98">
        <v>14</v>
      </c>
      <c r="E72" s="106">
        <v>14</v>
      </c>
      <c r="F72" s="106">
        <v>12</v>
      </c>
      <c r="G72" s="106">
        <v>8</v>
      </c>
      <c r="H72" s="106">
        <v>4</v>
      </c>
      <c r="I72" s="106">
        <v>2</v>
      </c>
      <c r="J72" s="68">
        <v>0</v>
      </c>
      <c r="K72" s="106">
        <v>0</v>
      </c>
      <c r="L72" s="106">
        <v>0</v>
      </c>
      <c r="M72" s="106">
        <v>0</v>
      </c>
      <c r="N72" s="106">
        <v>0</v>
      </c>
      <c r="O72" s="106">
        <v>0</v>
      </c>
      <c r="P72" s="106">
        <v>0</v>
      </c>
      <c r="Q72" s="106">
        <v>0</v>
      </c>
      <c r="R72" s="106">
        <v>0</v>
      </c>
      <c r="S72" s="106">
        <v>0</v>
      </c>
      <c r="T72" s="107">
        <v>0</v>
      </c>
    </row>
    <row r="73" spans="1:20" ht="30" customHeight="1" x14ac:dyDescent="0.2">
      <c r="A73" s="115"/>
      <c r="B73" s="98" t="s">
        <v>75</v>
      </c>
      <c r="C73" s="98" t="s">
        <v>47</v>
      </c>
      <c r="D73" s="98">
        <v>14</v>
      </c>
      <c r="E73" s="106">
        <v>14</v>
      </c>
      <c r="F73" s="106">
        <v>12</v>
      </c>
      <c r="G73" s="106">
        <v>8</v>
      </c>
      <c r="H73" s="106">
        <v>4</v>
      </c>
      <c r="I73" s="106">
        <v>2</v>
      </c>
      <c r="J73" s="68">
        <v>0</v>
      </c>
      <c r="K73" s="106">
        <v>0</v>
      </c>
      <c r="L73" s="106">
        <v>0</v>
      </c>
      <c r="M73" s="106">
        <v>0</v>
      </c>
      <c r="N73" s="106">
        <v>0</v>
      </c>
      <c r="O73" s="106">
        <v>0</v>
      </c>
      <c r="P73" s="106">
        <v>0</v>
      </c>
      <c r="Q73" s="106">
        <v>0</v>
      </c>
      <c r="R73" s="106">
        <v>0</v>
      </c>
      <c r="S73" s="106">
        <v>0</v>
      </c>
      <c r="T73" s="107">
        <v>0</v>
      </c>
    </row>
    <row r="74" spans="1:20" ht="30" customHeight="1" x14ac:dyDescent="0.2">
      <c r="A74" s="115"/>
      <c r="B74" s="98" t="s">
        <v>76</v>
      </c>
      <c r="C74" s="98" t="s">
        <v>78</v>
      </c>
      <c r="D74" s="98">
        <v>16</v>
      </c>
      <c r="E74" s="106">
        <v>16</v>
      </c>
      <c r="F74" s="106">
        <v>16</v>
      </c>
      <c r="G74" s="106">
        <v>12</v>
      </c>
      <c r="H74" s="106">
        <v>4</v>
      </c>
      <c r="I74" s="106">
        <v>4</v>
      </c>
      <c r="J74" s="106">
        <v>4</v>
      </c>
      <c r="K74" s="68">
        <v>0</v>
      </c>
      <c r="L74" s="106">
        <v>0</v>
      </c>
      <c r="M74" s="106">
        <v>0</v>
      </c>
      <c r="N74" s="106">
        <v>0</v>
      </c>
      <c r="O74" s="106">
        <v>0</v>
      </c>
      <c r="P74" s="106">
        <v>0</v>
      </c>
      <c r="Q74" s="106">
        <v>0</v>
      </c>
      <c r="R74" s="106">
        <v>0</v>
      </c>
      <c r="S74" s="106">
        <v>0</v>
      </c>
      <c r="T74" s="107">
        <v>0</v>
      </c>
    </row>
    <row r="75" spans="1:20" ht="30" customHeight="1" x14ac:dyDescent="0.2">
      <c r="A75" s="115"/>
      <c r="B75" s="98" t="s">
        <v>38</v>
      </c>
      <c r="C75" s="98" t="s">
        <v>72</v>
      </c>
      <c r="D75" s="98">
        <v>12</v>
      </c>
      <c r="E75" s="106">
        <v>12</v>
      </c>
      <c r="F75" s="106">
        <v>12</v>
      </c>
      <c r="G75" s="106">
        <v>10</v>
      </c>
      <c r="H75" s="106">
        <v>4</v>
      </c>
      <c r="I75" s="106">
        <v>4</v>
      </c>
      <c r="J75" s="106">
        <v>2</v>
      </c>
      <c r="K75" s="68">
        <v>0</v>
      </c>
      <c r="L75" s="106">
        <v>0</v>
      </c>
      <c r="M75" s="106">
        <v>0</v>
      </c>
      <c r="N75" s="106">
        <v>0</v>
      </c>
      <c r="O75" s="106">
        <v>0</v>
      </c>
      <c r="P75" s="106">
        <v>0</v>
      </c>
      <c r="Q75" s="106">
        <v>0</v>
      </c>
      <c r="R75" s="106">
        <v>0</v>
      </c>
      <c r="S75" s="106">
        <v>0</v>
      </c>
      <c r="T75" s="107">
        <v>0</v>
      </c>
    </row>
    <row r="76" spans="1:20" ht="30" customHeight="1" x14ac:dyDescent="0.2">
      <c r="A76" s="115" t="s">
        <v>39</v>
      </c>
      <c r="B76" s="98" t="s">
        <v>77</v>
      </c>
      <c r="C76" s="98" t="s">
        <v>53</v>
      </c>
      <c r="D76" s="98">
        <v>14</v>
      </c>
      <c r="E76" s="106">
        <v>14</v>
      </c>
      <c r="F76" s="106">
        <v>14</v>
      </c>
      <c r="G76" s="106">
        <v>12</v>
      </c>
      <c r="H76" s="106">
        <v>8</v>
      </c>
      <c r="I76" s="106">
        <v>4</v>
      </c>
      <c r="J76" s="106">
        <v>2</v>
      </c>
      <c r="K76" s="68">
        <v>0</v>
      </c>
      <c r="L76" s="106">
        <v>0</v>
      </c>
      <c r="M76" s="106">
        <v>0</v>
      </c>
      <c r="N76" s="106">
        <v>0</v>
      </c>
      <c r="O76" s="106">
        <v>0</v>
      </c>
      <c r="P76" s="106">
        <v>0</v>
      </c>
      <c r="Q76" s="106">
        <v>0</v>
      </c>
      <c r="R76" s="106">
        <v>0</v>
      </c>
      <c r="S76" s="106">
        <v>0</v>
      </c>
      <c r="T76" s="107">
        <v>0</v>
      </c>
    </row>
    <row r="77" spans="1:20" ht="30" customHeight="1" x14ac:dyDescent="0.2">
      <c r="A77" s="115"/>
      <c r="B77" s="98" t="s">
        <v>73</v>
      </c>
      <c r="C77" s="98" t="s">
        <v>53</v>
      </c>
      <c r="D77" s="98">
        <v>14</v>
      </c>
      <c r="E77" s="106">
        <v>14</v>
      </c>
      <c r="F77" s="106">
        <v>14</v>
      </c>
      <c r="G77" s="106">
        <v>12</v>
      </c>
      <c r="H77" s="106">
        <v>8</v>
      </c>
      <c r="I77" s="106">
        <v>4</v>
      </c>
      <c r="J77" s="106">
        <v>2</v>
      </c>
      <c r="K77" s="68">
        <v>0</v>
      </c>
      <c r="L77" s="106">
        <v>0</v>
      </c>
      <c r="M77" s="106">
        <v>0</v>
      </c>
      <c r="N77" s="106">
        <v>0</v>
      </c>
      <c r="O77" s="106">
        <v>0</v>
      </c>
      <c r="P77" s="106">
        <v>0</v>
      </c>
      <c r="Q77" s="106">
        <v>0</v>
      </c>
      <c r="R77" s="106">
        <v>0</v>
      </c>
      <c r="S77" s="106">
        <v>0</v>
      </c>
      <c r="T77" s="107">
        <v>0</v>
      </c>
    </row>
    <row r="78" spans="1:20" ht="30" customHeight="1" x14ac:dyDescent="0.2">
      <c r="A78" s="115"/>
      <c r="B78" s="98" t="s">
        <v>74</v>
      </c>
      <c r="C78" s="98" t="s">
        <v>78</v>
      </c>
      <c r="D78" s="98">
        <v>16</v>
      </c>
      <c r="E78" s="106">
        <v>16</v>
      </c>
      <c r="F78" s="106">
        <v>16</v>
      </c>
      <c r="G78" s="106">
        <v>16</v>
      </c>
      <c r="H78" s="106">
        <v>12</v>
      </c>
      <c r="I78" s="106">
        <v>8</v>
      </c>
      <c r="J78" s="106">
        <v>4</v>
      </c>
      <c r="K78" s="106">
        <v>2</v>
      </c>
      <c r="L78" s="68">
        <v>0</v>
      </c>
      <c r="M78" s="106">
        <v>0</v>
      </c>
      <c r="N78" s="106">
        <v>0</v>
      </c>
      <c r="O78" s="106">
        <v>0</v>
      </c>
      <c r="P78" s="106">
        <v>0</v>
      </c>
      <c r="Q78" s="106">
        <v>0</v>
      </c>
      <c r="R78" s="106">
        <v>0</v>
      </c>
      <c r="S78" s="106">
        <v>0</v>
      </c>
      <c r="T78" s="107">
        <v>0</v>
      </c>
    </row>
    <row r="79" spans="1:20" ht="30" customHeight="1" x14ac:dyDescent="0.2">
      <c r="A79" s="115"/>
      <c r="B79" s="98" t="s">
        <v>75</v>
      </c>
      <c r="C79" s="98" t="s">
        <v>79</v>
      </c>
      <c r="D79" s="98">
        <v>18</v>
      </c>
      <c r="E79" s="106">
        <v>18</v>
      </c>
      <c r="F79" s="106">
        <v>18</v>
      </c>
      <c r="G79" s="106">
        <v>18</v>
      </c>
      <c r="H79" s="106">
        <v>14</v>
      </c>
      <c r="I79" s="106">
        <v>10</v>
      </c>
      <c r="J79" s="106">
        <v>6</v>
      </c>
      <c r="K79" s="106">
        <v>4</v>
      </c>
      <c r="L79" s="106">
        <v>2</v>
      </c>
      <c r="M79" s="68">
        <v>0</v>
      </c>
      <c r="N79" s="106">
        <v>0</v>
      </c>
      <c r="O79" s="106">
        <v>0</v>
      </c>
      <c r="P79" s="106">
        <v>0</v>
      </c>
      <c r="Q79" s="106">
        <v>0</v>
      </c>
      <c r="R79" s="106">
        <v>0</v>
      </c>
      <c r="S79" s="106">
        <v>0</v>
      </c>
      <c r="T79" s="107">
        <v>0</v>
      </c>
    </row>
    <row r="80" spans="1:20" ht="30" customHeight="1" x14ac:dyDescent="0.2">
      <c r="A80" s="115"/>
      <c r="B80" s="98" t="s">
        <v>76</v>
      </c>
      <c r="C80" s="98" t="s">
        <v>49</v>
      </c>
      <c r="D80" s="98">
        <v>30</v>
      </c>
      <c r="E80" s="106">
        <v>30</v>
      </c>
      <c r="F80" s="106">
        <v>30</v>
      </c>
      <c r="G80" s="106">
        <v>30</v>
      </c>
      <c r="H80" s="106">
        <v>25</v>
      </c>
      <c r="I80" s="106">
        <v>20</v>
      </c>
      <c r="J80" s="106">
        <v>16</v>
      </c>
      <c r="K80" s="106">
        <v>14</v>
      </c>
      <c r="L80" s="106">
        <v>10</v>
      </c>
      <c r="M80" s="106">
        <v>6</v>
      </c>
      <c r="N80" s="106">
        <v>4</v>
      </c>
      <c r="O80" s="106">
        <v>2</v>
      </c>
      <c r="P80" s="106">
        <v>1</v>
      </c>
      <c r="Q80" s="70">
        <v>0</v>
      </c>
      <c r="R80" s="106">
        <v>0</v>
      </c>
      <c r="S80" s="106">
        <v>0</v>
      </c>
      <c r="T80" s="107">
        <v>0</v>
      </c>
    </row>
    <row r="81" spans="1:20" ht="30" customHeight="1" x14ac:dyDescent="0.2">
      <c r="A81" s="115"/>
      <c r="B81" s="98" t="s">
        <v>46</v>
      </c>
      <c r="C81" s="98" t="s">
        <v>33</v>
      </c>
      <c r="D81" s="98">
        <v>30</v>
      </c>
      <c r="E81" s="106">
        <v>30</v>
      </c>
      <c r="F81" s="106">
        <v>30</v>
      </c>
      <c r="G81" s="106">
        <v>30</v>
      </c>
      <c r="H81" s="106">
        <v>30</v>
      </c>
      <c r="I81" s="106">
        <v>30</v>
      </c>
      <c r="J81" s="106">
        <v>25</v>
      </c>
      <c r="K81" s="106">
        <v>20</v>
      </c>
      <c r="L81" s="106">
        <v>15</v>
      </c>
      <c r="M81" s="106">
        <v>10</v>
      </c>
      <c r="N81" s="106">
        <v>5</v>
      </c>
      <c r="O81" s="70">
        <v>0</v>
      </c>
      <c r="P81" s="106">
        <v>0</v>
      </c>
      <c r="Q81" s="106">
        <v>0</v>
      </c>
      <c r="R81" s="106">
        <v>0</v>
      </c>
      <c r="S81" s="106">
        <v>0</v>
      </c>
      <c r="T81" s="107">
        <v>0</v>
      </c>
    </row>
    <row r="82" spans="1:20" ht="30" customHeight="1" x14ac:dyDescent="0.2">
      <c r="A82" s="115" t="s">
        <v>40</v>
      </c>
      <c r="B82" s="98" t="s">
        <v>77</v>
      </c>
      <c r="C82" s="98" t="s">
        <v>47</v>
      </c>
      <c r="D82" s="98">
        <v>14</v>
      </c>
      <c r="E82" s="106">
        <v>14</v>
      </c>
      <c r="F82" s="106">
        <v>14</v>
      </c>
      <c r="G82" s="106">
        <v>14</v>
      </c>
      <c r="H82" s="106">
        <v>14</v>
      </c>
      <c r="I82" s="106">
        <v>2</v>
      </c>
      <c r="J82" s="106">
        <v>4</v>
      </c>
      <c r="K82" s="106">
        <v>4</v>
      </c>
      <c r="L82" s="106">
        <v>4</v>
      </c>
      <c r="M82" s="106">
        <v>0</v>
      </c>
      <c r="N82" s="106">
        <v>0</v>
      </c>
      <c r="O82" s="106">
        <v>0</v>
      </c>
      <c r="P82" s="106">
        <v>0</v>
      </c>
      <c r="Q82" s="106">
        <v>0</v>
      </c>
      <c r="R82" s="106">
        <v>0</v>
      </c>
      <c r="S82" s="106">
        <v>0</v>
      </c>
      <c r="T82" s="107">
        <v>0</v>
      </c>
    </row>
    <row r="83" spans="1:20" ht="30" customHeight="1" x14ac:dyDescent="0.2">
      <c r="A83" s="115"/>
      <c r="B83" s="98" t="s">
        <v>73</v>
      </c>
      <c r="C83" s="98" t="s">
        <v>78</v>
      </c>
      <c r="D83" s="98">
        <v>16</v>
      </c>
      <c r="E83" s="106">
        <v>16</v>
      </c>
      <c r="F83" s="106">
        <v>16</v>
      </c>
      <c r="G83" s="106">
        <v>16</v>
      </c>
      <c r="H83" s="106">
        <v>16</v>
      </c>
      <c r="I83" s="106">
        <v>14</v>
      </c>
      <c r="J83" s="106">
        <v>10</v>
      </c>
      <c r="K83" s="106">
        <v>6</v>
      </c>
      <c r="L83" s="106">
        <v>2</v>
      </c>
      <c r="M83" s="106">
        <v>1</v>
      </c>
      <c r="N83" s="106">
        <v>0</v>
      </c>
      <c r="O83" s="106">
        <v>0</v>
      </c>
      <c r="P83" s="106">
        <v>0</v>
      </c>
      <c r="Q83" s="106">
        <v>0</v>
      </c>
      <c r="R83" s="106">
        <v>0</v>
      </c>
      <c r="S83" s="106">
        <v>0</v>
      </c>
      <c r="T83" s="107">
        <v>0</v>
      </c>
    </row>
    <row r="84" spans="1:20" ht="30" customHeight="1" x14ac:dyDescent="0.2">
      <c r="A84" s="115"/>
      <c r="B84" s="98" t="s">
        <v>74</v>
      </c>
      <c r="C84" s="98" t="s">
        <v>78</v>
      </c>
      <c r="D84" s="98">
        <v>18</v>
      </c>
      <c r="E84" s="106">
        <v>18</v>
      </c>
      <c r="F84" s="106">
        <v>18</v>
      </c>
      <c r="G84" s="106">
        <v>18</v>
      </c>
      <c r="H84" s="106">
        <v>18</v>
      </c>
      <c r="I84" s="106">
        <v>18</v>
      </c>
      <c r="J84" s="106">
        <v>16</v>
      </c>
      <c r="K84" s="106">
        <v>14</v>
      </c>
      <c r="L84" s="106">
        <v>10</v>
      </c>
      <c r="M84" s="106">
        <v>6</v>
      </c>
      <c r="N84" s="106">
        <v>4</v>
      </c>
      <c r="O84" s="68">
        <v>0</v>
      </c>
      <c r="P84" s="106">
        <v>0</v>
      </c>
      <c r="Q84" s="106">
        <v>0</v>
      </c>
      <c r="R84" s="106">
        <v>0</v>
      </c>
      <c r="S84" s="106">
        <v>0</v>
      </c>
      <c r="T84" s="107">
        <v>0</v>
      </c>
    </row>
    <row r="85" spans="1:20" ht="30" customHeight="1" x14ac:dyDescent="0.2">
      <c r="A85" s="115"/>
      <c r="B85" s="98" t="s">
        <v>75</v>
      </c>
      <c r="C85" s="98" t="s">
        <v>47</v>
      </c>
      <c r="D85" s="98">
        <v>18</v>
      </c>
      <c r="E85" s="106">
        <v>18</v>
      </c>
      <c r="F85" s="106">
        <v>18</v>
      </c>
      <c r="G85" s="106">
        <v>18</v>
      </c>
      <c r="H85" s="106">
        <v>18</v>
      </c>
      <c r="I85" s="106">
        <v>18</v>
      </c>
      <c r="J85" s="106">
        <v>16</v>
      </c>
      <c r="K85" s="106">
        <v>14</v>
      </c>
      <c r="L85" s="106">
        <v>10</v>
      </c>
      <c r="M85" s="106">
        <v>6</v>
      </c>
      <c r="N85" s="106">
        <v>4</v>
      </c>
      <c r="O85" s="68">
        <v>0</v>
      </c>
      <c r="P85" s="106">
        <v>0</v>
      </c>
      <c r="Q85" s="106">
        <v>0</v>
      </c>
      <c r="R85" s="106">
        <v>0</v>
      </c>
      <c r="S85" s="106">
        <v>0</v>
      </c>
      <c r="T85" s="107">
        <v>0</v>
      </c>
    </row>
    <row r="86" spans="1:20" ht="30" customHeight="1" x14ac:dyDescent="0.2">
      <c r="A86" s="115"/>
      <c r="B86" s="98" t="s">
        <v>76</v>
      </c>
      <c r="C86" s="98" t="s">
        <v>47</v>
      </c>
      <c r="D86" s="98">
        <v>20</v>
      </c>
      <c r="E86" s="106">
        <v>20</v>
      </c>
      <c r="F86" s="106">
        <v>20</v>
      </c>
      <c r="G86" s="106">
        <v>20</v>
      </c>
      <c r="H86" s="106">
        <v>20</v>
      </c>
      <c r="I86" s="106">
        <v>20</v>
      </c>
      <c r="J86" s="106">
        <v>20</v>
      </c>
      <c r="K86" s="106">
        <v>16</v>
      </c>
      <c r="L86" s="106">
        <v>12</v>
      </c>
      <c r="M86" s="106">
        <v>8</v>
      </c>
      <c r="N86" s="106">
        <v>4</v>
      </c>
      <c r="O86" s="106">
        <v>1</v>
      </c>
      <c r="P86" s="68">
        <v>0</v>
      </c>
      <c r="Q86" s="106">
        <v>0</v>
      </c>
      <c r="R86" s="106">
        <v>0</v>
      </c>
      <c r="S86" s="106">
        <v>0</v>
      </c>
      <c r="T86" s="107">
        <v>0</v>
      </c>
    </row>
    <row r="87" spans="1:20" ht="30" customHeight="1" x14ac:dyDescent="0.2">
      <c r="A87" s="115" t="s">
        <v>41</v>
      </c>
      <c r="B87" s="98" t="s">
        <v>77</v>
      </c>
      <c r="C87" s="98" t="s">
        <v>80</v>
      </c>
      <c r="D87" s="98">
        <v>12</v>
      </c>
      <c r="E87" s="106">
        <v>12</v>
      </c>
      <c r="F87" s="106">
        <v>12</v>
      </c>
      <c r="G87" s="106">
        <v>12</v>
      </c>
      <c r="H87" s="106">
        <v>12</v>
      </c>
      <c r="I87" s="106">
        <v>12</v>
      </c>
      <c r="J87" s="106">
        <v>12</v>
      </c>
      <c r="K87" s="106">
        <v>10</v>
      </c>
      <c r="L87" s="106">
        <v>6</v>
      </c>
      <c r="M87" s="106">
        <v>2</v>
      </c>
      <c r="N87" s="106">
        <v>1</v>
      </c>
      <c r="O87" s="68">
        <v>0</v>
      </c>
      <c r="P87" s="106">
        <v>0</v>
      </c>
      <c r="Q87" s="106">
        <v>0</v>
      </c>
      <c r="R87" s="106">
        <v>0</v>
      </c>
      <c r="S87" s="106">
        <v>0</v>
      </c>
      <c r="T87" s="107">
        <v>0</v>
      </c>
    </row>
    <row r="88" spans="1:20" ht="30" customHeight="1" x14ac:dyDescent="0.2">
      <c r="A88" s="115"/>
      <c r="B88" s="98" t="s">
        <v>73</v>
      </c>
      <c r="C88" s="98" t="s">
        <v>47</v>
      </c>
      <c r="D88" s="98">
        <v>14</v>
      </c>
      <c r="E88" s="106">
        <v>14</v>
      </c>
      <c r="F88" s="106">
        <v>14</v>
      </c>
      <c r="G88" s="106">
        <v>14</v>
      </c>
      <c r="H88" s="106">
        <v>14</v>
      </c>
      <c r="I88" s="106">
        <v>14</v>
      </c>
      <c r="J88" s="106">
        <v>14</v>
      </c>
      <c r="K88" s="106">
        <v>12</v>
      </c>
      <c r="L88" s="106">
        <v>8</v>
      </c>
      <c r="M88" s="106">
        <v>4</v>
      </c>
      <c r="N88" s="106">
        <v>2</v>
      </c>
      <c r="O88" s="68">
        <v>0</v>
      </c>
      <c r="P88" s="106">
        <v>0</v>
      </c>
      <c r="Q88" s="106">
        <v>0</v>
      </c>
      <c r="R88" s="106">
        <v>0</v>
      </c>
      <c r="S88" s="106">
        <v>0</v>
      </c>
      <c r="T88" s="107">
        <v>0</v>
      </c>
    </row>
    <row r="89" spans="1:20" ht="30" customHeight="1" x14ac:dyDescent="0.2">
      <c r="A89" s="115"/>
      <c r="B89" s="98" t="s">
        <v>74</v>
      </c>
      <c r="C89" s="98" t="s">
        <v>79</v>
      </c>
      <c r="D89" s="98">
        <v>16</v>
      </c>
      <c r="E89" s="106">
        <v>16</v>
      </c>
      <c r="F89" s="106">
        <v>16</v>
      </c>
      <c r="G89" s="106">
        <v>16</v>
      </c>
      <c r="H89" s="106">
        <v>16</v>
      </c>
      <c r="I89" s="106">
        <v>16</v>
      </c>
      <c r="J89" s="106">
        <v>16</v>
      </c>
      <c r="K89" s="106">
        <v>16</v>
      </c>
      <c r="L89" s="106">
        <v>14</v>
      </c>
      <c r="M89" s="106">
        <v>10</v>
      </c>
      <c r="N89" s="106">
        <v>6</v>
      </c>
      <c r="O89" s="106">
        <v>4</v>
      </c>
      <c r="P89" s="106">
        <v>2</v>
      </c>
      <c r="Q89" s="68">
        <v>0</v>
      </c>
      <c r="R89" s="106">
        <v>0</v>
      </c>
      <c r="S89" s="106">
        <v>0</v>
      </c>
      <c r="T89" s="107">
        <v>0</v>
      </c>
    </row>
    <row r="90" spans="1:20" ht="30" customHeight="1" x14ac:dyDescent="0.2">
      <c r="A90" s="115"/>
      <c r="B90" s="98" t="s">
        <v>75</v>
      </c>
      <c r="C90" s="98" t="s">
        <v>78</v>
      </c>
      <c r="D90" s="98">
        <v>18</v>
      </c>
      <c r="E90" s="106">
        <v>18</v>
      </c>
      <c r="F90" s="106">
        <v>18</v>
      </c>
      <c r="G90" s="106">
        <v>18</v>
      </c>
      <c r="H90" s="106">
        <v>18</v>
      </c>
      <c r="I90" s="106">
        <v>18</v>
      </c>
      <c r="J90" s="106">
        <v>18</v>
      </c>
      <c r="K90" s="106">
        <v>18</v>
      </c>
      <c r="L90" s="106">
        <v>16</v>
      </c>
      <c r="M90" s="106">
        <v>12</v>
      </c>
      <c r="N90" s="106">
        <v>8</v>
      </c>
      <c r="O90" s="106">
        <v>4</v>
      </c>
      <c r="P90" s="106">
        <v>1</v>
      </c>
      <c r="Q90" s="68">
        <v>0</v>
      </c>
      <c r="R90" s="106">
        <v>0</v>
      </c>
      <c r="S90" s="106">
        <v>0</v>
      </c>
      <c r="T90" s="107">
        <v>0</v>
      </c>
    </row>
    <row r="91" spans="1:20" ht="30" customHeight="1" x14ac:dyDescent="0.2">
      <c r="A91" s="115"/>
      <c r="B91" s="98" t="s">
        <v>76</v>
      </c>
      <c r="C91" s="98" t="s">
        <v>49</v>
      </c>
      <c r="D91" s="98">
        <v>30</v>
      </c>
      <c r="E91" s="106">
        <v>30</v>
      </c>
      <c r="F91" s="106">
        <v>30</v>
      </c>
      <c r="G91" s="106">
        <v>30</v>
      </c>
      <c r="H91" s="106">
        <v>30</v>
      </c>
      <c r="I91" s="106">
        <v>30</v>
      </c>
      <c r="J91" s="106">
        <v>30</v>
      </c>
      <c r="K91" s="106">
        <v>30</v>
      </c>
      <c r="L91" s="106">
        <v>30</v>
      </c>
      <c r="M91" s="106">
        <v>25</v>
      </c>
      <c r="N91" s="106">
        <v>21</v>
      </c>
      <c r="O91" s="106">
        <v>18</v>
      </c>
      <c r="P91" s="106">
        <v>14</v>
      </c>
      <c r="Q91" s="106">
        <v>10</v>
      </c>
      <c r="R91" s="106">
        <v>8</v>
      </c>
      <c r="S91" s="106">
        <v>4</v>
      </c>
      <c r="T91" s="101">
        <v>0</v>
      </c>
    </row>
    <row r="92" spans="1:20" ht="30" customHeight="1" x14ac:dyDescent="0.2">
      <c r="A92" s="115" t="s">
        <v>42</v>
      </c>
      <c r="B92" s="98" t="s">
        <v>77</v>
      </c>
      <c r="C92" s="98" t="s">
        <v>47</v>
      </c>
      <c r="D92" s="98">
        <v>12</v>
      </c>
      <c r="E92" s="106">
        <v>12</v>
      </c>
      <c r="F92" s="106">
        <v>12</v>
      </c>
      <c r="G92" s="106">
        <v>12</v>
      </c>
      <c r="H92" s="106">
        <v>12</v>
      </c>
      <c r="I92" s="106">
        <v>12</v>
      </c>
      <c r="J92" s="106">
        <v>12</v>
      </c>
      <c r="K92" s="106">
        <v>12</v>
      </c>
      <c r="L92" s="106">
        <v>12</v>
      </c>
      <c r="M92" s="106">
        <v>10</v>
      </c>
      <c r="N92" s="106">
        <v>6</v>
      </c>
      <c r="O92" s="106">
        <v>2</v>
      </c>
      <c r="P92" s="106">
        <v>1</v>
      </c>
      <c r="Q92" s="68">
        <v>0</v>
      </c>
      <c r="R92" s="106">
        <v>0</v>
      </c>
      <c r="S92" s="106">
        <v>0</v>
      </c>
      <c r="T92" s="107">
        <v>0</v>
      </c>
    </row>
    <row r="93" spans="1:20" ht="30" customHeight="1" x14ac:dyDescent="0.2">
      <c r="A93" s="115"/>
      <c r="B93" s="98" t="s">
        <v>73</v>
      </c>
      <c r="C93" s="98" t="s">
        <v>78</v>
      </c>
      <c r="D93" s="98">
        <v>14</v>
      </c>
      <c r="E93" s="106">
        <v>14</v>
      </c>
      <c r="F93" s="106">
        <v>14</v>
      </c>
      <c r="G93" s="106">
        <v>14</v>
      </c>
      <c r="H93" s="106">
        <v>14</v>
      </c>
      <c r="I93" s="106">
        <v>14</v>
      </c>
      <c r="J93" s="106">
        <v>14</v>
      </c>
      <c r="K93" s="106">
        <v>14</v>
      </c>
      <c r="L93" s="106">
        <v>14</v>
      </c>
      <c r="M93" s="106">
        <v>12</v>
      </c>
      <c r="N93" s="106">
        <v>8</v>
      </c>
      <c r="O93" s="106">
        <v>4</v>
      </c>
      <c r="P93" s="106">
        <v>1</v>
      </c>
      <c r="Q93" s="68">
        <v>0</v>
      </c>
      <c r="R93" s="106">
        <v>0</v>
      </c>
      <c r="S93" s="106">
        <v>0</v>
      </c>
      <c r="T93" s="107">
        <v>0</v>
      </c>
    </row>
    <row r="94" spans="1:20" ht="30" customHeight="1" x14ac:dyDescent="0.2">
      <c r="A94" s="115"/>
      <c r="B94" s="98" t="s">
        <v>74</v>
      </c>
      <c r="C94" s="98" t="s">
        <v>78</v>
      </c>
      <c r="D94" s="98">
        <v>16</v>
      </c>
      <c r="E94" s="106">
        <v>16</v>
      </c>
      <c r="F94" s="106">
        <v>16</v>
      </c>
      <c r="G94" s="106">
        <v>16</v>
      </c>
      <c r="H94" s="106">
        <v>16</v>
      </c>
      <c r="I94" s="106">
        <v>16</v>
      </c>
      <c r="J94" s="106">
        <v>16</v>
      </c>
      <c r="K94" s="106">
        <v>16</v>
      </c>
      <c r="L94" s="106">
        <v>16</v>
      </c>
      <c r="M94" s="106">
        <v>16</v>
      </c>
      <c r="N94" s="106">
        <v>14</v>
      </c>
      <c r="O94" s="106">
        <v>10</v>
      </c>
      <c r="P94" s="106">
        <v>6</v>
      </c>
      <c r="Q94" s="106">
        <v>2</v>
      </c>
      <c r="R94" s="106">
        <v>1</v>
      </c>
      <c r="S94" s="68">
        <v>0</v>
      </c>
      <c r="T94" s="107">
        <v>0</v>
      </c>
    </row>
    <row r="95" spans="1:20" ht="30" customHeight="1" x14ac:dyDescent="0.2">
      <c r="A95" s="115"/>
      <c r="B95" s="98" t="s">
        <v>75</v>
      </c>
      <c r="C95" s="98" t="s">
        <v>81</v>
      </c>
      <c r="D95" s="98">
        <v>18</v>
      </c>
      <c r="E95" s="106">
        <v>18</v>
      </c>
      <c r="F95" s="106">
        <v>18</v>
      </c>
      <c r="G95" s="106">
        <v>18</v>
      </c>
      <c r="H95" s="106">
        <v>18</v>
      </c>
      <c r="I95" s="106">
        <v>18</v>
      </c>
      <c r="J95" s="106">
        <v>18</v>
      </c>
      <c r="K95" s="106">
        <v>18</v>
      </c>
      <c r="L95" s="106">
        <v>18</v>
      </c>
      <c r="M95" s="106">
        <v>18</v>
      </c>
      <c r="N95" s="106">
        <v>16</v>
      </c>
      <c r="O95" s="106">
        <v>12</v>
      </c>
      <c r="P95" s="106">
        <v>8</v>
      </c>
      <c r="Q95" s="106">
        <v>4</v>
      </c>
      <c r="R95" s="106">
        <v>1</v>
      </c>
      <c r="S95" s="68">
        <v>0</v>
      </c>
      <c r="T95" s="107">
        <v>0</v>
      </c>
    </row>
    <row r="96" spans="1:20" ht="30" customHeight="1" x14ac:dyDescent="0.2">
      <c r="A96" s="115"/>
      <c r="B96" s="98" t="s">
        <v>76</v>
      </c>
      <c r="C96" s="98" t="s">
        <v>50</v>
      </c>
      <c r="D96" s="98">
        <v>20</v>
      </c>
      <c r="E96" s="106">
        <v>20</v>
      </c>
      <c r="F96" s="106">
        <v>20</v>
      </c>
      <c r="G96" s="106">
        <v>20</v>
      </c>
      <c r="H96" s="106">
        <v>20</v>
      </c>
      <c r="I96" s="106">
        <v>20</v>
      </c>
      <c r="J96" s="106">
        <v>20</v>
      </c>
      <c r="K96" s="106">
        <v>20</v>
      </c>
      <c r="L96" s="106">
        <v>20</v>
      </c>
      <c r="M96" s="106">
        <v>20</v>
      </c>
      <c r="N96" s="106">
        <v>20</v>
      </c>
      <c r="O96" s="106">
        <v>18</v>
      </c>
      <c r="P96" s="106">
        <v>14</v>
      </c>
      <c r="Q96" s="106">
        <v>10</v>
      </c>
      <c r="R96" s="106">
        <v>6</v>
      </c>
      <c r="S96" s="106">
        <v>4</v>
      </c>
      <c r="T96" s="102">
        <v>0</v>
      </c>
    </row>
    <row r="97" spans="1:20" ht="30" customHeight="1" x14ac:dyDescent="0.2">
      <c r="A97" s="115" t="s">
        <v>82</v>
      </c>
      <c r="B97" s="98" t="s">
        <v>44</v>
      </c>
      <c r="C97" s="98" t="s">
        <v>33</v>
      </c>
      <c r="D97" s="98">
        <v>12</v>
      </c>
      <c r="E97" s="106">
        <v>12</v>
      </c>
      <c r="F97" s="106">
        <v>12</v>
      </c>
      <c r="G97" s="106">
        <v>12</v>
      </c>
      <c r="H97" s="106">
        <v>12</v>
      </c>
      <c r="I97" s="106">
        <v>12</v>
      </c>
      <c r="J97" s="106">
        <v>12</v>
      </c>
      <c r="K97" s="106">
        <v>12</v>
      </c>
      <c r="L97" s="106">
        <v>12</v>
      </c>
      <c r="M97" s="106">
        <v>12</v>
      </c>
      <c r="N97" s="106">
        <v>12</v>
      </c>
      <c r="O97" s="106">
        <v>12</v>
      </c>
      <c r="P97" s="106">
        <v>10</v>
      </c>
      <c r="Q97" s="106">
        <v>6</v>
      </c>
      <c r="R97" s="106">
        <v>4</v>
      </c>
      <c r="S97" s="106">
        <v>2</v>
      </c>
      <c r="T97" s="102">
        <v>0</v>
      </c>
    </row>
    <row r="98" spans="1:20" ht="30" customHeight="1" x14ac:dyDescent="0.2">
      <c r="A98" s="115"/>
      <c r="B98" s="98" t="s">
        <v>45</v>
      </c>
      <c r="C98" s="98" t="s">
        <v>33</v>
      </c>
      <c r="D98" s="98">
        <v>10</v>
      </c>
      <c r="E98" s="106">
        <v>10</v>
      </c>
      <c r="F98" s="106">
        <v>10</v>
      </c>
      <c r="G98" s="106">
        <v>10</v>
      </c>
      <c r="H98" s="106">
        <v>10</v>
      </c>
      <c r="I98" s="106">
        <v>10</v>
      </c>
      <c r="J98" s="106">
        <v>10</v>
      </c>
      <c r="K98" s="106">
        <v>10</v>
      </c>
      <c r="L98" s="106">
        <v>10</v>
      </c>
      <c r="M98" s="106">
        <v>10</v>
      </c>
      <c r="N98" s="106">
        <v>10</v>
      </c>
      <c r="O98" s="106">
        <v>10</v>
      </c>
      <c r="P98" s="106">
        <v>10</v>
      </c>
      <c r="Q98" s="106">
        <v>8</v>
      </c>
      <c r="R98" s="106">
        <v>4</v>
      </c>
      <c r="S98" s="106">
        <v>2</v>
      </c>
      <c r="T98" s="102">
        <v>0</v>
      </c>
    </row>
    <row r="99" spans="1:20" ht="30" customHeight="1" thickBot="1" x14ac:dyDescent="0.25">
      <c r="A99" s="116" t="s">
        <v>83</v>
      </c>
      <c r="B99" s="117"/>
      <c r="C99" s="118"/>
      <c r="D99" s="103">
        <f t="shared" ref="D99:T99" si="1" xml:space="preserve"> SUM(D63:D98)</f>
        <v>580</v>
      </c>
      <c r="E99" s="104">
        <f t="shared" si="1"/>
        <v>540</v>
      </c>
      <c r="F99" s="104">
        <f t="shared" si="1"/>
        <v>501</v>
      </c>
      <c r="G99" s="104">
        <f t="shared" si="1"/>
        <v>463</v>
      </c>
      <c r="H99" s="104">
        <f t="shared" si="1"/>
        <v>401</v>
      </c>
      <c r="I99" s="104">
        <f t="shared" si="1"/>
        <v>356</v>
      </c>
      <c r="J99" s="104">
        <f t="shared" si="1"/>
        <v>319</v>
      </c>
      <c r="K99" s="104">
        <f t="shared" si="1"/>
        <v>282</v>
      </c>
      <c r="L99" s="104">
        <f t="shared" si="1"/>
        <v>241</v>
      </c>
      <c r="M99" s="104">
        <f t="shared" si="1"/>
        <v>188</v>
      </c>
      <c r="N99" s="104">
        <f t="shared" si="1"/>
        <v>145</v>
      </c>
      <c r="O99" s="104">
        <f t="shared" si="1"/>
        <v>97</v>
      </c>
      <c r="P99" s="104">
        <f t="shared" si="1"/>
        <v>68</v>
      </c>
      <c r="Q99" s="104">
        <f t="shared" si="1"/>
        <v>40</v>
      </c>
      <c r="R99" s="104">
        <f t="shared" si="1"/>
        <v>24</v>
      </c>
      <c r="S99" s="104">
        <f t="shared" si="1"/>
        <v>12</v>
      </c>
      <c r="T99" s="105">
        <f t="shared" si="1"/>
        <v>0</v>
      </c>
    </row>
    <row r="100" spans="1:20" ht="30" customHeight="1" x14ac:dyDescent="0.25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</row>
    <row r="101" spans="1:20" ht="30" customHeight="1" x14ac:dyDescent="0.25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</row>
    <row r="102" spans="1:20" ht="30" customHeight="1" x14ac:dyDescent="0.25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</row>
    <row r="103" spans="1:20" ht="30" customHeight="1" thickBot="1" x14ac:dyDescent="0.3">
      <c r="A103" s="71"/>
      <c r="B103" s="71"/>
      <c r="C103" s="114" t="s">
        <v>85</v>
      </c>
      <c r="D103" s="114"/>
      <c r="E103" s="114"/>
      <c r="F103" s="114"/>
      <c r="G103" s="114"/>
      <c r="H103" s="114"/>
      <c r="I103" s="114"/>
      <c r="J103" s="114"/>
      <c r="K103" s="114"/>
      <c r="L103" s="114"/>
      <c r="M103" s="114"/>
      <c r="N103" s="114"/>
      <c r="O103" s="114"/>
      <c r="P103" s="114"/>
      <c r="Q103" s="114"/>
      <c r="R103" s="114"/>
      <c r="S103" s="114"/>
    </row>
    <row r="104" spans="1:20" ht="30" customHeight="1" x14ac:dyDescent="0.25">
      <c r="A104" s="71"/>
      <c r="B104" s="71"/>
      <c r="C104" s="108" t="s">
        <v>19</v>
      </c>
      <c r="D104" s="112">
        <v>45962</v>
      </c>
      <c r="E104" s="112">
        <v>45963</v>
      </c>
      <c r="F104" s="112">
        <v>45964</v>
      </c>
      <c r="G104" s="112">
        <v>45965</v>
      </c>
      <c r="H104" s="112">
        <v>45966</v>
      </c>
      <c r="I104" s="112">
        <v>45967</v>
      </c>
      <c r="J104" s="112">
        <v>45968</v>
      </c>
      <c r="K104" s="112">
        <v>45969</v>
      </c>
      <c r="L104" s="112">
        <v>45970</v>
      </c>
      <c r="M104" s="112">
        <v>45971</v>
      </c>
      <c r="N104" s="112">
        <v>45972</v>
      </c>
      <c r="O104" s="112">
        <v>45973</v>
      </c>
      <c r="P104" s="112">
        <v>45974</v>
      </c>
      <c r="Q104" s="112">
        <v>45975</v>
      </c>
      <c r="R104" s="112">
        <v>45976</v>
      </c>
      <c r="S104" s="112">
        <v>45977</v>
      </c>
    </row>
    <row r="105" spans="1:20" ht="30" customHeight="1" x14ac:dyDescent="0.25">
      <c r="A105" s="71"/>
      <c r="B105" s="71"/>
      <c r="C105" s="109" t="s">
        <v>20</v>
      </c>
      <c r="D105" s="110">
        <f t="shared" ref="D105:S105" si="2">SUM(E20:E55)</f>
        <v>515</v>
      </c>
      <c r="E105" s="110">
        <f t="shared" si="2"/>
        <v>476</v>
      </c>
      <c r="F105" s="110">
        <f t="shared" si="2"/>
        <v>438</v>
      </c>
      <c r="G105" s="110">
        <f t="shared" si="2"/>
        <v>379</v>
      </c>
      <c r="H105" s="110">
        <f t="shared" si="2"/>
        <v>330</v>
      </c>
      <c r="I105" s="110">
        <f t="shared" si="2"/>
        <v>293</v>
      </c>
      <c r="J105" s="110">
        <f t="shared" si="2"/>
        <v>254</v>
      </c>
      <c r="K105" s="110">
        <f t="shared" si="2"/>
        <v>215</v>
      </c>
      <c r="L105" s="110">
        <f t="shared" si="2"/>
        <v>168</v>
      </c>
      <c r="M105" s="110">
        <f t="shared" si="2"/>
        <v>129</v>
      </c>
      <c r="N105" s="110">
        <f t="shared" si="2"/>
        <v>87</v>
      </c>
      <c r="O105" s="110">
        <f t="shared" si="2"/>
        <v>59</v>
      </c>
      <c r="P105" s="110">
        <f t="shared" si="2"/>
        <v>32</v>
      </c>
      <c r="Q105" s="110">
        <f t="shared" si="2"/>
        <v>17</v>
      </c>
      <c r="R105" s="110">
        <f t="shared" si="2"/>
        <v>8</v>
      </c>
      <c r="S105" s="110">
        <f t="shared" si="2"/>
        <v>0</v>
      </c>
    </row>
    <row r="106" spans="1:20" ht="30" customHeight="1" x14ac:dyDescent="0.25">
      <c r="A106" s="71"/>
      <c r="B106" s="71"/>
      <c r="C106" s="109" t="s">
        <v>18</v>
      </c>
      <c r="D106" s="111">
        <f t="shared" ref="D106:S106" si="3" xml:space="preserve"> SUM(E63:E98)</f>
        <v>540</v>
      </c>
      <c r="E106" s="111">
        <f t="shared" si="3"/>
        <v>501</v>
      </c>
      <c r="F106" s="111">
        <f t="shared" si="3"/>
        <v>463</v>
      </c>
      <c r="G106" s="111">
        <f t="shared" si="3"/>
        <v>401</v>
      </c>
      <c r="H106" s="111">
        <f t="shared" si="3"/>
        <v>356</v>
      </c>
      <c r="I106" s="111">
        <f t="shared" si="3"/>
        <v>319</v>
      </c>
      <c r="J106" s="111">
        <f t="shared" si="3"/>
        <v>282</v>
      </c>
      <c r="K106" s="111">
        <f t="shared" si="3"/>
        <v>241</v>
      </c>
      <c r="L106" s="111">
        <f t="shared" si="3"/>
        <v>188</v>
      </c>
      <c r="M106" s="111">
        <f t="shared" si="3"/>
        <v>145</v>
      </c>
      <c r="N106" s="111">
        <f t="shared" si="3"/>
        <v>97</v>
      </c>
      <c r="O106" s="111">
        <f t="shared" si="3"/>
        <v>68</v>
      </c>
      <c r="P106" s="111">
        <f t="shared" si="3"/>
        <v>40</v>
      </c>
      <c r="Q106" s="111">
        <f t="shared" si="3"/>
        <v>24</v>
      </c>
      <c r="R106" s="111">
        <f t="shared" si="3"/>
        <v>12</v>
      </c>
      <c r="S106" s="111">
        <f t="shared" si="3"/>
        <v>0</v>
      </c>
    </row>
  </sheetData>
  <mergeCells count="29">
    <mergeCell ref="B1:E1"/>
    <mergeCell ref="A7:D7"/>
    <mergeCell ref="H7:I7"/>
    <mergeCell ref="C8:D8"/>
    <mergeCell ref="H8:I8"/>
    <mergeCell ref="H9:I9"/>
    <mergeCell ref="H10:I10"/>
    <mergeCell ref="H11:I11"/>
    <mergeCell ref="A20:A21"/>
    <mergeCell ref="A22:A26"/>
    <mergeCell ref="A27:A32"/>
    <mergeCell ref="A33:A38"/>
    <mergeCell ref="A17:C17"/>
    <mergeCell ref="A39:A43"/>
    <mergeCell ref="A44:A48"/>
    <mergeCell ref="A49:A53"/>
    <mergeCell ref="A54:A55"/>
    <mergeCell ref="A63:A64"/>
    <mergeCell ref="A56:C56"/>
    <mergeCell ref="A59:C59"/>
    <mergeCell ref="C103:S103"/>
    <mergeCell ref="A97:A98"/>
    <mergeCell ref="A65:A69"/>
    <mergeCell ref="A70:A75"/>
    <mergeCell ref="A76:A81"/>
    <mergeCell ref="A82:A86"/>
    <mergeCell ref="A87:A91"/>
    <mergeCell ref="A92:A96"/>
    <mergeCell ref="A99:C9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97EA4-16B2-4F9B-9E59-BA03DACEEED0}">
  <dimension ref="A1:S833"/>
  <sheetViews>
    <sheetView tabSelected="1" topLeftCell="A90" zoomScale="50" zoomScaleNormal="85" workbookViewId="0">
      <selection activeCell="T88" sqref="T88"/>
    </sheetView>
  </sheetViews>
  <sheetFormatPr baseColWidth="10" defaultColWidth="14.5" defaultRowHeight="15" customHeight="1" x14ac:dyDescent="0.2"/>
  <cols>
    <col min="1" max="1" width="29.33203125" customWidth="1"/>
    <col min="2" max="2" width="50.33203125" customWidth="1"/>
    <col min="3" max="3" width="49.5" customWidth="1"/>
    <col min="4" max="4" width="22.33203125" customWidth="1"/>
    <col min="5" max="5" width="14.1640625" customWidth="1"/>
    <col min="6" max="6" width="13.83203125" customWidth="1"/>
    <col min="7" max="7" width="18.33203125" customWidth="1"/>
    <col min="8" max="8" width="13.33203125" customWidth="1"/>
    <col min="9" max="9" width="12.6640625" customWidth="1"/>
    <col min="10" max="10" width="12.5" customWidth="1"/>
    <col min="11" max="11" width="12.6640625" customWidth="1"/>
    <col min="12" max="12" width="12.5" customWidth="1"/>
    <col min="13" max="13" width="12.6640625" customWidth="1"/>
    <col min="14" max="14" width="13.5" customWidth="1"/>
    <col min="15" max="15" width="12.83203125" customWidth="1"/>
    <col min="16" max="16" width="13.5" customWidth="1"/>
    <col min="17" max="17" width="9.83203125" bestFit="1" customWidth="1"/>
    <col min="18" max="18" width="11.33203125" customWidth="1"/>
    <col min="19" max="19" width="9.83203125" bestFit="1" customWidth="1"/>
    <col min="20" max="23" width="8.6640625" customWidth="1"/>
  </cols>
  <sheetData>
    <row r="1" spans="1:19" ht="30" customHeight="1" thickBot="1" x14ac:dyDescent="0.3">
      <c r="A1" s="2" t="s">
        <v>4</v>
      </c>
      <c r="B1" s="133" t="s">
        <v>5</v>
      </c>
      <c r="C1" s="134"/>
      <c r="D1" s="36"/>
      <c r="E1" s="36"/>
      <c r="F1" s="36"/>
      <c r="G1" s="36"/>
    </row>
    <row r="2" spans="1:19" ht="30" customHeight="1" thickBot="1" x14ac:dyDescent="0.3">
      <c r="A2" s="3" t="s">
        <v>6</v>
      </c>
      <c r="B2" s="4" t="s">
        <v>7</v>
      </c>
      <c r="C2" s="37"/>
      <c r="D2" s="36"/>
      <c r="E2" s="36"/>
      <c r="F2" s="36"/>
      <c r="G2" s="36"/>
    </row>
    <row r="3" spans="1:19" ht="30" customHeight="1" thickBot="1" x14ac:dyDescent="0.3">
      <c r="A3" s="5" t="s">
        <v>8</v>
      </c>
      <c r="B3" s="1" t="s">
        <v>87</v>
      </c>
      <c r="C3" s="38"/>
      <c r="D3" s="36"/>
      <c r="E3" s="36"/>
      <c r="F3" s="36"/>
      <c r="G3" s="36"/>
    </row>
    <row r="4" spans="1:19" ht="30" customHeight="1" thickBot="1" x14ac:dyDescent="0.3">
      <c r="A4" s="6" t="s">
        <v>10</v>
      </c>
      <c r="B4" s="7" t="s">
        <v>84</v>
      </c>
      <c r="C4" s="39"/>
      <c r="D4" s="36"/>
      <c r="E4" s="36"/>
      <c r="F4" s="36"/>
      <c r="G4" s="36"/>
    </row>
    <row r="5" spans="1:19" ht="30" customHeight="1" x14ac:dyDescent="0.25">
      <c r="B5" s="36"/>
      <c r="C5" s="36"/>
      <c r="D5" s="36"/>
      <c r="E5" s="36"/>
      <c r="F5" s="36"/>
      <c r="G5" s="36"/>
    </row>
    <row r="6" spans="1:19" ht="30" customHeight="1" thickBot="1" x14ac:dyDescent="0.3">
      <c r="B6" s="36"/>
      <c r="C6" s="36"/>
      <c r="D6" s="36"/>
      <c r="E6" s="36"/>
      <c r="F6" s="36"/>
      <c r="G6" s="36"/>
    </row>
    <row r="7" spans="1:19" ht="30" customHeight="1" thickBot="1" x14ac:dyDescent="0.3">
      <c r="B7" s="135" t="s">
        <v>22</v>
      </c>
      <c r="C7" s="136"/>
      <c r="D7" s="36"/>
      <c r="E7" s="36"/>
      <c r="F7" s="36"/>
      <c r="G7" s="36"/>
    </row>
    <row r="8" spans="1:19" ht="30" customHeight="1" thickBot="1" x14ac:dyDescent="0.3">
      <c r="B8" s="40" t="s">
        <v>11</v>
      </c>
      <c r="C8" s="41" t="s">
        <v>12</v>
      </c>
      <c r="D8" s="36"/>
      <c r="E8" s="36"/>
      <c r="F8" s="36"/>
      <c r="G8" s="36"/>
    </row>
    <row r="9" spans="1:19" ht="30" customHeight="1" thickBot="1" x14ac:dyDescent="0.3">
      <c r="B9" s="42">
        <v>1</v>
      </c>
      <c r="C9" s="43" t="s">
        <v>0</v>
      </c>
      <c r="D9" s="36"/>
      <c r="E9" s="44"/>
      <c r="F9" s="137" t="s">
        <v>14</v>
      </c>
      <c r="G9" s="138"/>
    </row>
    <row r="10" spans="1:19" ht="30" customHeight="1" thickBot="1" x14ac:dyDescent="0.3">
      <c r="B10" s="42">
        <v>2</v>
      </c>
      <c r="C10" s="43" t="s">
        <v>23</v>
      </c>
      <c r="D10" s="36"/>
      <c r="E10" s="45"/>
      <c r="F10" s="137" t="s">
        <v>60</v>
      </c>
      <c r="G10" s="138"/>
    </row>
    <row r="11" spans="1:19" ht="30" customHeight="1" thickBot="1" x14ac:dyDescent="0.3">
      <c r="B11" s="42">
        <v>3</v>
      </c>
      <c r="C11" s="43" t="s">
        <v>2</v>
      </c>
      <c r="D11" s="36"/>
      <c r="E11" s="46"/>
      <c r="F11" s="137" t="s">
        <v>61</v>
      </c>
      <c r="G11" s="138"/>
    </row>
    <row r="12" spans="1:19" ht="30" customHeight="1" thickBot="1" x14ac:dyDescent="0.3">
      <c r="B12" s="47">
        <v>4</v>
      </c>
      <c r="C12" s="48" t="s">
        <v>1</v>
      </c>
      <c r="D12" s="36"/>
      <c r="E12" s="49"/>
      <c r="F12" s="137" t="s">
        <v>15</v>
      </c>
      <c r="G12" s="138"/>
    </row>
    <row r="13" spans="1:19" ht="30" customHeight="1" thickBot="1" x14ac:dyDescent="0.3">
      <c r="B13" s="50">
        <v>5</v>
      </c>
      <c r="C13" s="51" t="s">
        <v>3</v>
      </c>
      <c r="D13" s="36"/>
      <c r="E13" s="52"/>
      <c r="F13" s="137" t="s">
        <v>16</v>
      </c>
      <c r="G13" s="138"/>
    </row>
    <row r="14" spans="1:19" ht="20" customHeight="1" thickBot="1" x14ac:dyDescent="0.25"/>
    <row r="15" spans="1:19" ht="30" customHeight="1" thickBot="1" x14ac:dyDescent="0.25">
      <c r="A15" s="30" t="s">
        <v>24</v>
      </c>
      <c r="B15" s="25" t="s">
        <v>17</v>
      </c>
      <c r="C15" s="24" t="s">
        <v>25</v>
      </c>
      <c r="D15" s="24" t="s">
        <v>21</v>
      </c>
      <c r="E15" s="113">
        <v>45978</v>
      </c>
      <c r="F15" s="113">
        <v>45979</v>
      </c>
      <c r="G15" s="113">
        <v>45980</v>
      </c>
      <c r="H15" s="113">
        <v>45981</v>
      </c>
      <c r="I15" s="113">
        <v>45982</v>
      </c>
      <c r="J15" s="113">
        <v>45983</v>
      </c>
      <c r="K15" s="113">
        <v>45984</v>
      </c>
      <c r="L15" s="113">
        <v>45985</v>
      </c>
      <c r="M15" s="113">
        <v>45986</v>
      </c>
      <c r="N15" s="113">
        <v>45987</v>
      </c>
      <c r="O15" s="113">
        <v>45988</v>
      </c>
      <c r="P15" s="113">
        <v>45989</v>
      </c>
      <c r="Q15" s="113">
        <v>45990</v>
      </c>
      <c r="R15" s="113">
        <v>45991</v>
      </c>
      <c r="S15" s="113">
        <v>45992</v>
      </c>
    </row>
    <row r="16" spans="1:19" ht="30" customHeight="1" x14ac:dyDescent="0.25">
      <c r="A16" s="140" t="s">
        <v>36</v>
      </c>
      <c r="B16" s="26" t="s">
        <v>27</v>
      </c>
      <c r="C16" s="20" t="s">
        <v>33</v>
      </c>
      <c r="D16" s="21">
        <v>18</v>
      </c>
      <c r="E16" s="22">
        <v>10</v>
      </c>
      <c r="F16" s="22">
        <v>4</v>
      </c>
      <c r="G16" s="22">
        <v>4</v>
      </c>
      <c r="H16" s="23">
        <v>2</v>
      </c>
      <c r="I16" s="31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53">
        <v>0</v>
      </c>
      <c r="R16" s="12">
        <v>0</v>
      </c>
      <c r="S16" s="58">
        <v>0</v>
      </c>
    </row>
    <row r="17" spans="1:19" ht="30" customHeight="1" x14ac:dyDescent="0.25">
      <c r="A17" s="141"/>
      <c r="B17" s="27" t="s">
        <v>28</v>
      </c>
      <c r="C17" s="9" t="s">
        <v>51</v>
      </c>
      <c r="D17" s="10">
        <v>16</v>
      </c>
      <c r="E17" s="11">
        <v>13</v>
      </c>
      <c r="F17" s="11">
        <v>9</v>
      </c>
      <c r="G17" s="11">
        <v>5</v>
      </c>
      <c r="H17" s="11">
        <v>2</v>
      </c>
      <c r="I17" s="11">
        <v>1</v>
      </c>
      <c r="J17" s="32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54">
        <v>0</v>
      </c>
      <c r="R17" s="12">
        <v>0</v>
      </c>
      <c r="S17" s="58">
        <v>0</v>
      </c>
    </row>
    <row r="18" spans="1:19" ht="30" customHeight="1" x14ac:dyDescent="0.25">
      <c r="A18" s="139" t="s">
        <v>29</v>
      </c>
      <c r="B18" s="27" t="s">
        <v>30</v>
      </c>
      <c r="C18" s="9" t="s">
        <v>48</v>
      </c>
      <c r="D18" s="10">
        <v>14</v>
      </c>
      <c r="E18" s="11">
        <v>10</v>
      </c>
      <c r="F18" s="11">
        <v>8</v>
      </c>
      <c r="G18" s="11">
        <v>6</v>
      </c>
      <c r="H18" s="11">
        <v>3</v>
      </c>
      <c r="I18" s="11">
        <v>1</v>
      </c>
      <c r="J18" s="32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54">
        <v>0</v>
      </c>
      <c r="R18" s="12">
        <v>0</v>
      </c>
      <c r="S18" s="58">
        <v>0</v>
      </c>
    </row>
    <row r="19" spans="1:19" ht="30" customHeight="1" x14ac:dyDescent="0.25">
      <c r="A19" s="140"/>
      <c r="B19" s="27" t="s">
        <v>31</v>
      </c>
      <c r="C19" s="9" t="s">
        <v>48</v>
      </c>
      <c r="D19" s="10">
        <v>10</v>
      </c>
      <c r="E19" s="11">
        <v>8</v>
      </c>
      <c r="F19" s="11">
        <v>6</v>
      </c>
      <c r="G19" s="11">
        <v>3</v>
      </c>
      <c r="H19" s="11">
        <v>8</v>
      </c>
      <c r="I19" s="11">
        <v>7</v>
      </c>
      <c r="J19" s="11">
        <v>3</v>
      </c>
      <c r="K19" s="32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54">
        <v>0</v>
      </c>
      <c r="R19" s="12">
        <v>0</v>
      </c>
      <c r="S19" s="58">
        <v>0</v>
      </c>
    </row>
    <row r="20" spans="1:19" ht="30" customHeight="1" x14ac:dyDescent="0.25">
      <c r="A20" s="140"/>
      <c r="B20" s="27" t="s">
        <v>32</v>
      </c>
      <c r="C20" s="9" t="s">
        <v>48</v>
      </c>
      <c r="D20" s="10">
        <v>15</v>
      </c>
      <c r="E20" s="11">
        <v>12</v>
      </c>
      <c r="F20" s="11">
        <v>10</v>
      </c>
      <c r="G20" s="11">
        <v>8</v>
      </c>
      <c r="H20" s="11">
        <v>7</v>
      </c>
      <c r="I20" s="11">
        <v>3</v>
      </c>
      <c r="J20" s="11">
        <v>1</v>
      </c>
      <c r="K20" s="32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54">
        <v>0</v>
      </c>
      <c r="R20" s="12">
        <v>0</v>
      </c>
      <c r="S20" s="58">
        <v>0</v>
      </c>
    </row>
    <row r="21" spans="1:19" ht="30" customHeight="1" x14ac:dyDescent="0.25">
      <c r="A21" s="140"/>
      <c r="B21" s="27" t="s">
        <v>35</v>
      </c>
      <c r="C21" s="9" t="s">
        <v>48</v>
      </c>
      <c r="D21" s="10">
        <v>16</v>
      </c>
      <c r="E21" s="11">
        <v>14</v>
      </c>
      <c r="F21" s="11">
        <v>11</v>
      </c>
      <c r="G21" s="11">
        <v>9</v>
      </c>
      <c r="H21" s="11">
        <v>7</v>
      </c>
      <c r="I21" s="11">
        <v>5</v>
      </c>
      <c r="J21" s="11">
        <v>3</v>
      </c>
      <c r="K21" s="11">
        <v>1</v>
      </c>
      <c r="L21" s="32">
        <v>0</v>
      </c>
      <c r="M21" s="11">
        <v>0</v>
      </c>
      <c r="N21" s="11">
        <v>0</v>
      </c>
      <c r="O21" s="11">
        <v>0</v>
      </c>
      <c r="P21" s="11">
        <v>0</v>
      </c>
      <c r="Q21" s="54">
        <v>0</v>
      </c>
      <c r="R21" s="12">
        <v>0</v>
      </c>
      <c r="S21" s="58">
        <v>0</v>
      </c>
    </row>
    <row r="22" spans="1:19" ht="30" customHeight="1" x14ac:dyDescent="0.25">
      <c r="A22" s="139" t="s">
        <v>37</v>
      </c>
      <c r="B22" s="27" t="s">
        <v>30</v>
      </c>
      <c r="C22" s="9" t="s">
        <v>49</v>
      </c>
      <c r="D22" s="10">
        <v>11</v>
      </c>
      <c r="E22" s="11">
        <v>11</v>
      </c>
      <c r="F22" s="11">
        <v>11</v>
      </c>
      <c r="G22" s="11">
        <v>7</v>
      </c>
      <c r="H22" s="11">
        <v>5</v>
      </c>
      <c r="I22" s="11">
        <v>4</v>
      </c>
      <c r="J22" s="11">
        <v>2</v>
      </c>
      <c r="K22" s="11">
        <v>0</v>
      </c>
      <c r="L22" s="32">
        <v>0</v>
      </c>
      <c r="M22" s="11">
        <v>0</v>
      </c>
      <c r="N22" s="11">
        <v>0</v>
      </c>
      <c r="O22" s="11">
        <v>0</v>
      </c>
      <c r="P22" s="11">
        <v>0</v>
      </c>
      <c r="Q22" s="54">
        <v>0</v>
      </c>
      <c r="R22" s="12">
        <v>0</v>
      </c>
      <c r="S22" s="58">
        <v>0</v>
      </c>
    </row>
    <row r="23" spans="1:19" ht="30" customHeight="1" x14ac:dyDescent="0.25">
      <c r="A23" s="140"/>
      <c r="B23" s="27" t="s">
        <v>31</v>
      </c>
      <c r="C23" s="9" t="s">
        <v>49</v>
      </c>
      <c r="D23" s="10">
        <v>18</v>
      </c>
      <c r="E23" s="11">
        <v>18</v>
      </c>
      <c r="F23" s="11">
        <v>16</v>
      </c>
      <c r="G23" s="11">
        <v>16</v>
      </c>
      <c r="H23" s="11">
        <v>15</v>
      </c>
      <c r="I23" s="11">
        <v>10</v>
      </c>
      <c r="J23" s="11">
        <v>7</v>
      </c>
      <c r="K23" s="11">
        <v>2</v>
      </c>
      <c r="L23" s="32">
        <v>0</v>
      </c>
      <c r="M23" s="11">
        <v>0</v>
      </c>
      <c r="N23" s="11">
        <v>0</v>
      </c>
      <c r="O23" s="11">
        <v>0</v>
      </c>
      <c r="P23" s="11">
        <v>0</v>
      </c>
      <c r="Q23" s="54">
        <v>0</v>
      </c>
      <c r="R23" s="12">
        <v>0</v>
      </c>
      <c r="S23" s="58">
        <v>0</v>
      </c>
    </row>
    <row r="24" spans="1:19" ht="30" customHeight="1" x14ac:dyDescent="0.25">
      <c r="A24" s="140"/>
      <c r="B24" s="27" t="s">
        <v>32</v>
      </c>
      <c r="C24" s="9" t="s">
        <v>51</v>
      </c>
      <c r="D24" s="10">
        <v>10</v>
      </c>
      <c r="E24" s="11">
        <v>10</v>
      </c>
      <c r="F24" s="11">
        <v>9</v>
      </c>
      <c r="G24" s="11">
        <v>7</v>
      </c>
      <c r="H24" s="11">
        <v>6</v>
      </c>
      <c r="I24" s="11">
        <v>3</v>
      </c>
      <c r="J24" s="11">
        <v>3</v>
      </c>
      <c r="K24" s="11">
        <v>3</v>
      </c>
      <c r="L24" s="11">
        <v>1</v>
      </c>
      <c r="M24" s="32">
        <v>0</v>
      </c>
      <c r="N24" s="11">
        <v>0</v>
      </c>
      <c r="O24" s="11">
        <v>0</v>
      </c>
      <c r="P24" s="11">
        <v>0</v>
      </c>
      <c r="Q24" s="54">
        <v>0</v>
      </c>
      <c r="R24" s="12">
        <v>0</v>
      </c>
      <c r="S24" s="58">
        <v>0</v>
      </c>
    </row>
    <row r="25" spans="1:19" ht="30" customHeight="1" x14ac:dyDescent="0.25">
      <c r="A25" s="140"/>
      <c r="B25" s="27" t="s">
        <v>35</v>
      </c>
      <c r="C25" s="9" t="s">
        <v>51</v>
      </c>
      <c r="D25" s="10">
        <v>12</v>
      </c>
      <c r="E25" s="11">
        <v>12</v>
      </c>
      <c r="F25" s="11">
        <v>11</v>
      </c>
      <c r="G25" s="11">
        <v>10</v>
      </c>
      <c r="H25" s="11">
        <v>9</v>
      </c>
      <c r="I25" s="11">
        <v>9</v>
      </c>
      <c r="J25" s="11">
        <v>8</v>
      </c>
      <c r="K25" s="11">
        <v>7</v>
      </c>
      <c r="L25" s="11">
        <v>6</v>
      </c>
      <c r="M25" s="32">
        <v>0</v>
      </c>
      <c r="N25" s="11">
        <v>0</v>
      </c>
      <c r="O25" s="11">
        <v>0</v>
      </c>
      <c r="P25" s="11">
        <v>0</v>
      </c>
      <c r="Q25" s="54">
        <v>0</v>
      </c>
      <c r="R25" s="12">
        <v>0</v>
      </c>
      <c r="S25" s="58">
        <v>0</v>
      </c>
    </row>
    <row r="26" spans="1:19" ht="30" customHeight="1" x14ac:dyDescent="0.25">
      <c r="A26" s="141"/>
      <c r="B26" s="27" t="s">
        <v>38</v>
      </c>
      <c r="C26" s="9" t="s">
        <v>33</v>
      </c>
      <c r="D26" s="10">
        <v>20</v>
      </c>
      <c r="E26" s="11">
        <v>14</v>
      </c>
      <c r="F26" s="11">
        <v>14</v>
      </c>
      <c r="G26" s="11">
        <v>14</v>
      </c>
      <c r="H26" s="11">
        <v>12</v>
      </c>
      <c r="I26" s="11">
        <v>10</v>
      </c>
      <c r="J26" s="11">
        <v>8</v>
      </c>
      <c r="K26" s="11">
        <v>6</v>
      </c>
      <c r="L26" s="11">
        <v>6</v>
      </c>
      <c r="M26" s="32">
        <v>0</v>
      </c>
      <c r="N26" s="11">
        <v>0</v>
      </c>
      <c r="O26" s="11">
        <v>0</v>
      </c>
      <c r="P26" s="11">
        <v>0</v>
      </c>
      <c r="Q26" s="54">
        <v>0</v>
      </c>
      <c r="R26" s="12">
        <v>0</v>
      </c>
      <c r="S26" s="58">
        <v>0</v>
      </c>
    </row>
    <row r="27" spans="1:19" ht="30" customHeight="1" x14ac:dyDescent="0.25">
      <c r="A27" s="139" t="s">
        <v>39</v>
      </c>
      <c r="B27" s="27" t="s">
        <v>30</v>
      </c>
      <c r="C27" s="9" t="s">
        <v>48</v>
      </c>
      <c r="D27" s="10">
        <v>15</v>
      </c>
      <c r="E27" s="11">
        <v>11</v>
      </c>
      <c r="F27" s="11">
        <v>10</v>
      </c>
      <c r="G27" s="11">
        <v>9</v>
      </c>
      <c r="H27" s="11">
        <v>9</v>
      </c>
      <c r="I27" s="11">
        <v>8</v>
      </c>
      <c r="J27" s="11">
        <v>7</v>
      </c>
      <c r="K27" s="11">
        <v>6</v>
      </c>
      <c r="L27" s="11">
        <v>3</v>
      </c>
      <c r="M27" s="32">
        <v>0</v>
      </c>
      <c r="N27" s="11">
        <v>0</v>
      </c>
      <c r="O27" s="11">
        <v>0</v>
      </c>
      <c r="P27" s="11">
        <v>0</v>
      </c>
      <c r="Q27" s="54">
        <v>0</v>
      </c>
      <c r="R27" s="12">
        <v>0</v>
      </c>
      <c r="S27" s="58">
        <v>0</v>
      </c>
    </row>
    <row r="28" spans="1:19" ht="30" customHeight="1" x14ac:dyDescent="0.25">
      <c r="A28" s="140"/>
      <c r="B28" s="27" t="s">
        <v>31</v>
      </c>
      <c r="C28" s="9" t="s">
        <v>62</v>
      </c>
      <c r="D28" s="10">
        <v>15</v>
      </c>
      <c r="E28" s="11">
        <v>11</v>
      </c>
      <c r="F28" s="11">
        <v>11</v>
      </c>
      <c r="G28" s="11">
        <v>9</v>
      </c>
      <c r="H28" s="11">
        <v>9</v>
      </c>
      <c r="I28" s="11">
        <v>9</v>
      </c>
      <c r="J28" s="11">
        <v>7</v>
      </c>
      <c r="K28" s="11">
        <v>6</v>
      </c>
      <c r="L28" s="11">
        <v>2</v>
      </c>
      <c r="M28" s="32">
        <v>0</v>
      </c>
      <c r="N28" s="11">
        <v>0</v>
      </c>
      <c r="O28" s="11">
        <v>0</v>
      </c>
      <c r="P28" s="11">
        <v>0</v>
      </c>
      <c r="Q28" s="54">
        <v>0</v>
      </c>
      <c r="R28" s="12">
        <v>0</v>
      </c>
      <c r="S28" s="58">
        <v>0</v>
      </c>
    </row>
    <row r="29" spans="1:19" ht="30" customHeight="1" x14ac:dyDescent="0.25">
      <c r="A29" s="140"/>
      <c r="B29" s="27" t="s">
        <v>32</v>
      </c>
      <c r="C29" s="9" t="s">
        <v>62</v>
      </c>
      <c r="D29" s="10">
        <v>14</v>
      </c>
      <c r="E29" s="11">
        <v>13</v>
      </c>
      <c r="F29" s="11">
        <v>13</v>
      </c>
      <c r="G29" s="11">
        <v>12</v>
      </c>
      <c r="H29" s="11">
        <v>10</v>
      </c>
      <c r="I29" s="11">
        <v>8</v>
      </c>
      <c r="J29" s="11">
        <v>8</v>
      </c>
      <c r="K29" s="11">
        <v>7</v>
      </c>
      <c r="L29" s="11">
        <v>6</v>
      </c>
      <c r="M29" s="11">
        <v>2</v>
      </c>
      <c r="N29" s="32">
        <v>0</v>
      </c>
      <c r="O29" s="11">
        <v>0</v>
      </c>
      <c r="P29" s="11">
        <v>0</v>
      </c>
      <c r="Q29" s="54">
        <v>0</v>
      </c>
      <c r="R29" s="12">
        <v>0</v>
      </c>
      <c r="S29" s="58">
        <v>0</v>
      </c>
    </row>
    <row r="30" spans="1:19" ht="30" customHeight="1" x14ac:dyDescent="0.25">
      <c r="A30" s="140"/>
      <c r="B30" s="27" t="s">
        <v>35</v>
      </c>
      <c r="C30" s="9" t="s">
        <v>50</v>
      </c>
      <c r="D30" s="10">
        <v>16</v>
      </c>
      <c r="E30" s="11">
        <v>16</v>
      </c>
      <c r="F30" s="11">
        <v>15</v>
      </c>
      <c r="G30" s="11">
        <v>15</v>
      </c>
      <c r="H30" s="11">
        <v>12</v>
      </c>
      <c r="I30" s="11">
        <v>12</v>
      </c>
      <c r="J30" s="11">
        <v>10</v>
      </c>
      <c r="K30" s="11">
        <v>8</v>
      </c>
      <c r="L30" s="11">
        <v>8</v>
      </c>
      <c r="M30" s="11">
        <v>6</v>
      </c>
      <c r="N30" s="11">
        <v>4</v>
      </c>
      <c r="O30" s="32">
        <v>0</v>
      </c>
      <c r="P30" s="11">
        <v>0</v>
      </c>
      <c r="Q30" s="54">
        <v>0</v>
      </c>
      <c r="R30" s="12">
        <v>0</v>
      </c>
      <c r="S30" s="58">
        <v>0</v>
      </c>
    </row>
    <row r="31" spans="1:19" ht="30" customHeight="1" x14ac:dyDescent="0.25">
      <c r="A31" s="141"/>
      <c r="B31" s="27" t="s">
        <v>46</v>
      </c>
      <c r="C31" s="9" t="s">
        <v>33</v>
      </c>
      <c r="D31" s="10">
        <v>20</v>
      </c>
      <c r="E31" s="11">
        <v>20</v>
      </c>
      <c r="F31" s="11">
        <v>19</v>
      </c>
      <c r="G31" s="11">
        <v>17</v>
      </c>
      <c r="H31" s="11">
        <v>17</v>
      </c>
      <c r="I31" s="11">
        <v>15</v>
      </c>
      <c r="J31" s="11">
        <v>15</v>
      </c>
      <c r="K31" s="11">
        <v>15</v>
      </c>
      <c r="L31" s="11">
        <v>12</v>
      </c>
      <c r="M31" s="11">
        <v>10</v>
      </c>
      <c r="N31" s="11">
        <v>5</v>
      </c>
      <c r="O31" s="32">
        <v>0</v>
      </c>
      <c r="P31" s="11">
        <v>0</v>
      </c>
      <c r="Q31" s="54">
        <v>0</v>
      </c>
      <c r="R31" s="12">
        <v>0</v>
      </c>
      <c r="S31" s="58">
        <v>0</v>
      </c>
    </row>
    <row r="32" spans="1:19" ht="30" customHeight="1" x14ac:dyDescent="0.25">
      <c r="A32" s="139" t="s">
        <v>40</v>
      </c>
      <c r="B32" s="27" t="s">
        <v>30</v>
      </c>
      <c r="C32" s="9" t="s">
        <v>47</v>
      </c>
      <c r="D32" s="10">
        <v>16</v>
      </c>
      <c r="E32" s="11">
        <v>16</v>
      </c>
      <c r="F32" s="11">
        <v>16</v>
      </c>
      <c r="G32" s="11">
        <v>16</v>
      </c>
      <c r="H32" s="11">
        <v>15</v>
      </c>
      <c r="I32" s="11">
        <v>15</v>
      </c>
      <c r="J32" s="11">
        <v>14</v>
      </c>
      <c r="K32" s="11">
        <v>10</v>
      </c>
      <c r="L32" s="11">
        <v>8</v>
      </c>
      <c r="M32" s="11">
        <v>8</v>
      </c>
      <c r="N32" s="11">
        <v>3</v>
      </c>
      <c r="O32" s="32">
        <v>0</v>
      </c>
      <c r="P32" s="11">
        <v>0</v>
      </c>
      <c r="Q32" s="54">
        <v>0</v>
      </c>
      <c r="R32" s="12">
        <v>0</v>
      </c>
      <c r="S32" s="58">
        <v>0</v>
      </c>
    </row>
    <row r="33" spans="1:19" ht="30" customHeight="1" x14ac:dyDescent="0.25">
      <c r="A33" s="140"/>
      <c r="B33" s="27" t="s">
        <v>31</v>
      </c>
      <c r="C33" s="9" t="s">
        <v>47</v>
      </c>
      <c r="D33" s="10">
        <v>15</v>
      </c>
      <c r="E33" s="11">
        <v>15</v>
      </c>
      <c r="F33" s="11">
        <v>15</v>
      </c>
      <c r="G33" s="11">
        <v>14</v>
      </c>
      <c r="H33" s="11">
        <v>14</v>
      </c>
      <c r="I33" s="11">
        <v>12</v>
      </c>
      <c r="J33" s="11">
        <v>12</v>
      </c>
      <c r="K33" s="11">
        <v>10</v>
      </c>
      <c r="L33" s="11">
        <v>8</v>
      </c>
      <c r="M33" s="11">
        <v>7</v>
      </c>
      <c r="N33" s="11">
        <v>2</v>
      </c>
      <c r="O33" s="32">
        <v>0</v>
      </c>
      <c r="P33" s="11">
        <v>0</v>
      </c>
      <c r="Q33" s="54">
        <v>0</v>
      </c>
      <c r="R33" s="12">
        <v>0</v>
      </c>
      <c r="S33" s="58">
        <v>0</v>
      </c>
    </row>
    <row r="34" spans="1:19" ht="30" customHeight="1" x14ac:dyDescent="0.25">
      <c r="A34" s="140"/>
      <c r="B34" s="27" t="s">
        <v>32</v>
      </c>
      <c r="C34" s="9" t="s">
        <v>52</v>
      </c>
      <c r="D34" s="10">
        <v>11</v>
      </c>
      <c r="E34" s="11">
        <v>11</v>
      </c>
      <c r="F34" s="11">
        <v>11</v>
      </c>
      <c r="G34" s="11">
        <v>10</v>
      </c>
      <c r="H34" s="11">
        <v>10</v>
      </c>
      <c r="I34" s="11">
        <v>10</v>
      </c>
      <c r="J34" s="11">
        <v>9</v>
      </c>
      <c r="K34" s="11">
        <v>9</v>
      </c>
      <c r="L34" s="11">
        <v>7</v>
      </c>
      <c r="M34" s="11">
        <v>3</v>
      </c>
      <c r="N34" s="32">
        <v>0</v>
      </c>
      <c r="O34" s="11">
        <v>0</v>
      </c>
      <c r="P34" s="12">
        <v>0</v>
      </c>
      <c r="Q34" s="54">
        <v>0</v>
      </c>
      <c r="R34" s="12">
        <v>0</v>
      </c>
      <c r="S34" s="58">
        <v>0</v>
      </c>
    </row>
    <row r="35" spans="1:19" ht="30" customHeight="1" x14ac:dyDescent="0.25">
      <c r="A35" s="140"/>
      <c r="B35" s="27" t="s">
        <v>35</v>
      </c>
      <c r="C35" s="9" t="s">
        <v>48</v>
      </c>
      <c r="D35" s="10">
        <v>12</v>
      </c>
      <c r="E35" s="11">
        <v>12</v>
      </c>
      <c r="F35" s="11">
        <v>11</v>
      </c>
      <c r="G35" s="11">
        <v>10</v>
      </c>
      <c r="H35" s="11">
        <v>9</v>
      </c>
      <c r="I35" s="11">
        <v>9</v>
      </c>
      <c r="J35" s="11">
        <v>8</v>
      </c>
      <c r="K35" s="11">
        <v>7</v>
      </c>
      <c r="L35" s="11">
        <v>6</v>
      </c>
      <c r="M35" s="11">
        <v>5</v>
      </c>
      <c r="N35" s="32">
        <v>0</v>
      </c>
      <c r="O35" s="11">
        <v>0</v>
      </c>
      <c r="P35" s="12">
        <v>0</v>
      </c>
      <c r="Q35" s="54">
        <v>0</v>
      </c>
      <c r="R35" s="12">
        <v>0</v>
      </c>
      <c r="S35" s="58">
        <v>0</v>
      </c>
    </row>
    <row r="36" spans="1:19" ht="30" customHeight="1" x14ac:dyDescent="0.25">
      <c r="A36" s="139" t="s">
        <v>41</v>
      </c>
      <c r="B36" s="27" t="s">
        <v>30</v>
      </c>
      <c r="C36" s="9" t="s">
        <v>51</v>
      </c>
      <c r="D36" s="10">
        <v>12</v>
      </c>
      <c r="E36" s="11">
        <v>11</v>
      </c>
      <c r="F36" s="11">
        <v>10</v>
      </c>
      <c r="G36" s="11">
        <v>9</v>
      </c>
      <c r="H36" s="11">
        <v>9</v>
      </c>
      <c r="I36" s="11">
        <v>8</v>
      </c>
      <c r="J36" s="11">
        <v>7</v>
      </c>
      <c r="K36" s="11">
        <v>6</v>
      </c>
      <c r="L36" s="11">
        <v>6</v>
      </c>
      <c r="M36" s="11">
        <v>4</v>
      </c>
      <c r="N36" s="32">
        <v>0</v>
      </c>
      <c r="O36" s="11">
        <v>0</v>
      </c>
      <c r="P36" s="12">
        <v>0</v>
      </c>
      <c r="Q36" s="54">
        <v>0</v>
      </c>
      <c r="R36" s="12">
        <v>0</v>
      </c>
      <c r="S36" s="58">
        <v>0</v>
      </c>
    </row>
    <row r="37" spans="1:19" ht="30" customHeight="1" x14ac:dyDescent="0.25">
      <c r="A37" s="140"/>
      <c r="B37" s="27" t="s">
        <v>31</v>
      </c>
      <c r="C37" s="9" t="s">
        <v>53</v>
      </c>
      <c r="D37" s="10">
        <v>12</v>
      </c>
      <c r="E37" s="11">
        <v>10</v>
      </c>
      <c r="F37" s="11">
        <v>10</v>
      </c>
      <c r="G37" s="11">
        <v>10</v>
      </c>
      <c r="H37" s="11">
        <v>9</v>
      </c>
      <c r="I37" s="11">
        <v>9</v>
      </c>
      <c r="J37" s="11">
        <v>9</v>
      </c>
      <c r="K37" s="11">
        <v>5</v>
      </c>
      <c r="L37" s="11">
        <v>5</v>
      </c>
      <c r="M37" s="11">
        <v>3</v>
      </c>
      <c r="N37" s="32">
        <v>0</v>
      </c>
      <c r="O37" s="11">
        <v>0</v>
      </c>
      <c r="P37" s="12">
        <v>0</v>
      </c>
      <c r="Q37" s="54">
        <v>0</v>
      </c>
      <c r="R37" s="12">
        <v>0</v>
      </c>
      <c r="S37" s="58">
        <v>0</v>
      </c>
    </row>
    <row r="38" spans="1:19" ht="30" customHeight="1" x14ac:dyDescent="0.25">
      <c r="A38" s="140"/>
      <c r="B38" s="27" t="s">
        <v>32</v>
      </c>
      <c r="C38" s="9" t="s">
        <v>53</v>
      </c>
      <c r="D38" s="10">
        <v>13</v>
      </c>
      <c r="E38" s="11">
        <v>13</v>
      </c>
      <c r="F38" s="11">
        <v>13</v>
      </c>
      <c r="G38" s="11">
        <v>13</v>
      </c>
      <c r="H38" s="11">
        <v>12</v>
      </c>
      <c r="I38" s="11">
        <v>10</v>
      </c>
      <c r="J38" s="11">
        <v>10</v>
      </c>
      <c r="K38" s="11">
        <v>8</v>
      </c>
      <c r="L38" s="11">
        <v>8</v>
      </c>
      <c r="M38" s="11">
        <v>5</v>
      </c>
      <c r="N38" s="11">
        <v>4</v>
      </c>
      <c r="O38" s="11">
        <v>2</v>
      </c>
      <c r="P38" s="11">
        <v>2</v>
      </c>
      <c r="Q38" s="54">
        <v>2</v>
      </c>
      <c r="R38" s="32">
        <v>0</v>
      </c>
      <c r="S38" s="58">
        <v>0</v>
      </c>
    </row>
    <row r="39" spans="1:19" ht="30" customHeight="1" x14ac:dyDescent="0.25">
      <c r="A39" s="140"/>
      <c r="B39" s="27" t="s">
        <v>35</v>
      </c>
      <c r="C39" s="9" t="s">
        <v>51</v>
      </c>
      <c r="D39" s="10">
        <v>13</v>
      </c>
      <c r="E39" s="11">
        <v>12</v>
      </c>
      <c r="F39" s="11">
        <v>11</v>
      </c>
      <c r="G39" s="11">
        <v>10</v>
      </c>
      <c r="H39" s="11">
        <v>9</v>
      </c>
      <c r="I39" s="11">
        <v>9</v>
      </c>
      <c r="J39" s="11">
        <v>8</v>
      </c>
      <c r="K39" s="11">
        <v>7</v>
      </c>
      <c r="L39" s="11">
        <v>6</v>
      </c>
      <c r="M39" s="11">
        <v>5</v>
      </c>
      <c r="N39" s="11">
        <v>4</v>
      </c>
      <c r="O39" s="11">
        <v>3</v>
      </c>
      <c r="P39" s="11">
        <v>3</v>
      </c>
      <c r="Q39" s="54">
        <v>2</v>
      </c>
      <c r="R39" s="32">
        <v>0</v>
      </c>
      <c r="S39" s="58">
        <v>0</v>
      </c>
    </row>
    <row r="40" spans="1:19" ht="30" customHeight="1" x14ac:dyDescent="0.25">
      <c r="A40" s="139" t="s">
        <v>42</v>
      </c>
      <c r="B40" s="27" t="s">
        <v>30</v>
      </c>
      <c r="C40" s="9" t="s">
        <v>54</v>
      </c>
      <c r="D40" s="10">
        <v>14</v>
      </c>
      <c r="E40" s="11">
        <v>11</v>
      </c>
      <c r="F40" s="11">
        <v>10</v>
      </c>
      <c r="G40" s="11">
        <v>9</v>
      </c>
      <c r="H40" s="11">
        <v>9</v>
      </c>
      <c r="I40" s="11">
        <v>8</v>
      </c>
      <c r="J40" s="11">
        <v>7</v>
      </c>
      <c r="K40" s="11">
        <v>6</v>
      </c>
      <c r="L40" s="11">
        <v>6</v>
      </c>
      <c r="M40" s="11">
        <v>5</v>
      </c>
      <c r="N40" s="11">
        <v>4</v>
      </c>
      <c r="O40" s="11">
        <v>3</v>
      </c>
      <c r="P40" s="11">
        <v>2</v>
      </c>
      <c r="Q40" s="54">
        <v>2</v>
      </c>
      <c r="R40" s="32">
        <v>0</v>
      </c>
      <c r="S40" s="58">
        <v>0</v>
      </c>
    </row>
    <row r="41" spans="1:19" ht="30" customHeight="1" x14ac:dyDescent="0.25">
      <c r="A41" s="140"/>
      <c r="B41" s="27" t="s">
        <v>31</v>
      </c>
      <c r="C41" s="9" t="s">
        <v>54</v>
      </c>
      <c r="D41" s="10">
        <v>15</v>
      </c>
      <c r="E41" s="11">
        <v>15</v>
      </c>
      <c r="F41" s="11">
        <v>15</v>
      </c>
      <c r="G41" s="11">
        <v>14</v>
      </c>
      <c r="H41" s="11">
        <v>13</v>
      </c>
      <c r="I41" s="11">
        <v>10</v>
      </c>
      <c r="J41" s="11">
        <v>10</v>
      </c>
      <c r="K41" s="11">
        <v>6</v>
      </c>
      <c r="L41" s="11">
        <v>6</v>
      </c>
      <c r="M41" s="11">
        <v>5</v>
      </c>
      <c r="N41" s="11">
        <v>5</v>
      </c>
      <c r="O41" s="11">
        <v>5</v>
      </c>
      <c r="P41" s="11">
        <v>2</v>
      </c>
      <c r="Q41" s="54">
        <v>2</v>
      </c>
      <c r="R41" s="32">
        <v>0</v>
      </c>
      <c r="S41" s="58">
        <v>0</v>
      </c>
    </row>
    <row r="42" spans="1:19" ht="30" customHeight="1" x14ac:dyDescent="0.25">
      <c r="A42" s="140"/>
      <c r="B42" s="27" t="s">
        <v>32</v>
      </c>
      <c r="C42" s="9" t="s">
        <v>47</v>
      </c>
      <c r="D42" s="10">
        <v>15</v>
      </c>
      <c r="E42" s="11">
        <v>14</v>
      </c>
      <c r="F42" s="11">
        <v>14</v>
      </c>
      <c r="G42" s="11">
        <v>14</v>
      </c>
      <c r="H42" s="11">
        <v>13</v>
      </c>
      <c r="I42" s="11">
        <v>13</v>
      </c>
      <c r="J42" s="11">
        <v>10</v>
      </c>
      <c r="K42" s="11">
        <v>9</v>
      </c>
      <c r="L42" s="11">
        <v>9</v>
      </c>
      <c r="M42" s="11">
        <v>9</v>
      </c>
      <c r="N42" s="11">
        <v>5</v>
      </c>
      <c r="O42" s="11">
        <v>5</v>
      </c>
      <c r="P42" s="11">
        <v>5</v>
      </c>
      <c r="Q42" s="54">
        <v>4</v>
      </c>
      <c r="R42" s="12">
        <v>4</v>
      </c>
      <c r="S42" s="59">
        <v>0</v>
      </c>
    </row>
    <row r="43" spans="1:19" ht="30" customHeight="1" thickBot="1" x14ac:dyDescent="0.3">
      <c r="A43" s="140"/>
      <c r="B43" s="27" t="s">
        <v>35</v>
      </c>
      <c r="C43" s="9" t="s">
        <v>47</v>
      </c>
      <c r="D43" s="10">
        <v>14</v>
      </c>
      <c r="E43" s="11">
        <v>12</v>
      </c>
      <c r="F43" s="11">
        <v>11</v>
      </c>
      <c r="G43" s="11">
        <v>10</v>
      </c>
      <c r="H43" s="11">
        <v>9</v>
      </c>
      <c r="I43" s="11">
        <v>9</v>
      </c>
      <c r="J43" s="11">
        <v>8</v>
      </c>
      <c r="K43" s="11">
        <v>7</v>
      </c>
      <c r="L43" s="11">
        <v>6</v>
      </c>
      <c r="M43" s="11">
        <v>5</v>
      </c>
      <c r="N43" s="11">
        <v>4</v>
      </c>
      <c r="O43" s="11">
        <v>3</v>
      </c>
      <c r="P43" s="11">
        <v>3</v>
      </c>
      <c r="Q43" s="54">
        <v>3</v>
      </c>
      <c r="R43" s="12">
        <v>3</v>
      </c>
      <c r="S43" s="59">
        <v>0</v>
      </c>
    </row>
    <row r="44" spans="1:19" ht="30" customHeight="1" x14ac:dyDescent="0.25">
      <c r="A44" s="14" t="s">
        <v>43</v>
      </c>
      <c r="B44" s="28" t="s">
        <v>55</v>
      </c>
      <c r="C44" s="8" t="s">
        <v>33</v>
      </c>
      <c r="D44" s="10">
        <v>11</v>
      </c>
      <c r="E44" s="11">
        <v>11</v>
      </c>
      <c r="F44" s="11">
        <v>10</v>
      </c>
      <c r="G44" s="11">
        <v>9</v>
      </c>
      <c r="H44" s="11">
        <v>9</v>
      </c>
      <c r="I44" s="11">
        <v>8</v>
      </c>
      <c r="J44" s="11">
        <v>7</v>
      </c>
      <c r="K44" s="11">
        <v>6</v>
      </c>
      <c r="L44" s="11">
        <v>6</v>
      </c>
      <c r="M44" s="11">
        <v>5</v>
      </c>
      <c r="N44" s="11">
        <v>5</v>
      </c>
      <c r="O44" s="11">
        <v>5</v>
      </c>
      <c r="P44" s="11">
        <v>4</v>
      </c>
      <c r="Q44" s="54">
        <v>4</v>
      </c>
      <c r="R44" s="12">
        <v>4</v>
      </c>
      <c r="S44" s="59">
        <v>0</v>
      </c>
    </row>
    <row r="45" spans="1:19" ht="30" customHeight="1" thickBot="1" x14ac:dyDescent="0.3">
      <c r="A45" s="13"/>
      <c r="B45" s="29" t="s">
        <v>56</v>
      </c>
      <c r="C45" s="15" t="s">
        <v>33</v>
      </c>
      <c r="D45" s="16">
        <v>14</v>
      </c>
      <c r="E45" s="17">
        <v>14</v>
      </c>
      <c r="F45" s="17">
        <v>14</v>
      </c>
      <c r="G45" s="17">
        <v>13</v>
      </c>
      <c r="H45" s="17">
        <v>13</v>
      </c>
      <c r="I45" s="17">
        <v>10</v>
      </c>
      <c r="J45" s="17">
        <v>10</v>
      </c>
      <c r="K45" s="17">
        <v>9</v>
      </c>
      <c r="L45" s="17">
        <v>9</v>
      </c>
      <c r="M45" s="17">
        <v>8</v>
      </c>
      <c r="N45" s="17">
        <v>7</v>
      </c>
      <c r="O45" s="17">
        <v>7</v>
      </c>
      <c r="P45" s="17">
        <v>7</v>
      </c>
      <c r="Q45" s="55">
        <v>5</v>
      </c>
      <c r="R45" s="18">
        <v>5</v>
      </c>
      <c r="S45" s="60">
        <v>0</v>
      </c>
    </row>
    <row r="46" spans="1:19" ht="30" customHeight="1" thickBot="1" x14ac:dyDescent="0.25">
      <c r="A46" s="143" t="s">
        <v>57</v>
      </c>
      <c r="B46" s="144"/>
      <c r="C46" s="145"/>
      <c r="D46" s="19">
        <f>SUM(D16:D45)</f>
        <v>427</v>
      </c>
      <c r="E46" s="19">
        <f t="shared" ref="E46:R46" si="0" xml:space="preserve"> SUM(E16:E45)</f>
        <v>380</v>
      </c>
      <c r="F46" s="19">
        <f t="shared" si="0"/>
        <v>348</v>
      </c>
      <c r="G46" s="19">
        <f t="shared" si="0"/>
        <v>312</v>
      </c>
      <c r="H46" s="19">
        <f t="shared" si="0"/>
        <v>286</v>
      </c>
      <c r="I46" s="19">
        <f t="shared" si="0"/>
        <v>245</v>
      </c>
      <c r="J46" s="19">
        <f t="shared" si="0"/>
        <v>211</v>
      </c>
      <c r="K46" s="19">
        <f t="shared" si="0"/>
        <v>166</v>
      </c>
      <c r="L46" s="19">
        <f t="shared" si="0"/>
        <v>140</v>
      </c>
      <c r="M46" s="19">
        <f t="shared" si="0"/>
        <v>95</v>
      </c>
      <c r="N46" s="19">
        <f t="shared" si="0"/>
        <v>52</v>
      </c>
      <c r="O46" s="19">
        <f t="shared" si="0"/>
        <v>33</v>
      </c>
      <c r="P46" s="19">
        <f t="shared" si="0"/>
        <v>28</v>
      </c>
      <c r="Q46" s="56">
        <f t="shared" si="0"/>
        <v>24</v>
      </c>
      <c r="R46" s="57">
        <f t="shared" si="0"/>
        <v>16</v>
      </c>
      <c r="S46" s="61">
        <f>SUM(S16:S45)</f>
        <v>0</v>
      </c>
    </row>
    <row r="47" spans="1:19" ht="30" customHeight="1" x14ac:dyDescent="0.2"/>
    <row r="48" spans="1:19" ht="30" customHeight="1" x14ac:dyDescent="0.2"/>
    <row r="49" spans="1:19" ht="30" customHeight="1" x14ac:dyDescent="0.2">
      <c r="A49" s="146" t="s">
        <v>58</v>
      </c>
      <c r="B49" s="146"/>
      <c r="C49" s="146"/>
    </row>
    <row r="50" spans="1:19" ht="30" customHeight="1" thickBot="1" x14ac:dyDescent="0.25"/>
    <row r="51" spans="1:19" ht="30" customHeight="1" thickBot="1" x14ac:dyDescent="0.25">
      <c r="A51" s="30" t="s">
        <v>24</v>
      </c>
      <c r="B51" s="25" t="s">
        <v>17</v>
      </c>
      <c r="C51" s="24" t="s">
        <v>25</v>
      </c>
      <c r="D51" s="24" t="s">
        <v>21</v>
      </c>
      <c r="E51" s="113">
        <v>45978</v>
      </c>
      <c r="F51" s="113">
        <v>45979</v>
      </c>
      <c r="G51" s="113">
        <v>45980</v>
      </c>
      <c r="H51" s="113">
        <v>45981</v>
      </c>
      <c r="I51" s="113">
        <v>45982</v>
      </c>
      <c r="J51" s="113">
        <v>45983</v>
      </c>
      <c r="K51" s="113">
        <v>45984</v>
      </c>
      <c r="L51" s="113">
        <v>45985</v>
      </c>
      <c r="M51" s="113">
        <v>45986</v>
      </c>
      <c r="N51" s="113">
        <v>45987</v>
      </c>
      <c r="O51" s="113">
        <v>45988</v>
      </c>
      <c r="P51" s="113">
        <v>45989</v>
      </c>
      <c r="Q51" s="113">
        <v>45990</v>
      </c>
      <c r="R51" s="113">
        <v>45991</v>
      </c>
      <c r="S51" s="113">
        <v>45992</v>
      </c>
    </row>
    <row r="52" spans="1:19" ht="30" customHeight="1" x14ac:dyDescent="0.25">
      <c r="A52" s="140" t="s">
        <v>36</v>
      </c>
      <c r="B52" s="26" t="s">
        <v>27</v>
      </c>
      <c r="C52" s="20" t="s">
        <v>33</v>
      </c>
      <c r="D52" s="21">
        <v>18</v>
      </c>
      <c r="E52" s="22">
        <v>10</v>
      </c>
      <c r="F52" s="22">
        <v>4</v>
      </c>
      <c r="G52" s="22">
        <v>4</v>
      </c>
      <c r="H52" s="34">
        <v>0</v>
      </c>
      <c r="I52" s="23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53">
        <v>0</v>
      </c>
      <c r="R52" s="12">
        <v>0</v>
      </c>
      <c r="S52" s="58">
        <v>0</v>
      </c>
    </row>
    <row r="53" spans="1:19" ht="30" customHeight="1" x14ac:dyDescent="0.25">
      <c r="A53" s="141"/>
      <c r="B53" s="27" t="s">
        <v>28</v>
      </c>
      <c r="C53" s="9" t="s">
        <v>51</v>
      </c>
      <c r="D53" s="10">
        <v>16</v>
      </c>
      <c r="E53" s="11">
        <v>16</v>
      </c>
      <c r="F53" s="11">
        <v>12</v>
      </c>
      <c r="G53" s="11">
        <v>12</v>
      </c>
      <c r="H53" s="11">
        <v>6</v>
      </c>
      <c r="I53" s="11">
        <v>2</v>
      </c>
      <c r="J53" s="32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54">
        <v>0</v>
      </c>
      <c r="R53" s="12">
        <v>0</v>
      </c>
      <c r="S53" s="58">
        <v>0</v>
      </c>
    </row>
    <row r="54" spans="1:19" ht="30" customHeight="1" x14ac:dyDescent="0.25">
      <c r="A54" s="139" t="s">
        <v>29</v>
      </c>
      <c r="B54" s="27" t="s">
        <v>30</v>
      </c>
      <c r="C54" s="9" t="s">
        <v>48</v>
      </c>
      <c r="D54" s="10">
        <v>14</v>
      </c>
      <c r="E54" s="11">
        <v>14</v>
      </c>
      <c r="F54" s="11">
        <v>14</v>
      </c>
      <c r="G54" s="11">
        <v>11</v>
      </c>
      <c r="H54" s="11">
        <v>8</v>
      </c>
      <c r="I54" s="11">
        <v>4</v>
      </c>
      <c r="J54" s="32">
        <v>0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54">
        <v>0</v>
      </c>
      <c r="R54" s="12">
        <v>0</v>
      </c>
      <c r="S54" s="58">
        <v>0</v>
      </c>
    </row>
    <row r="55" spans="1:19" ht="30" customHeight="1" x14ac:dyDescent="0.25">
      <c r="A55" s="140"/>
      <c r="B55" s="27" t="s">
        <v>31</v>
      </c>
      <c r="C55" s="9" t="s">
        <v>48</v>
      </c>
      <c r="D55" s="10">
        <v>10</v>
      </c>
      <c r="E55" s="11">
        <v>10</v>
      </c>
      <c r="F55" s="11">
        <v>10</v>
      </c>
      <c r="G55" s="11">
        <v>8</v>
      </c>
      <c r="H55" s="11">
        <v>8</v>
      </c>
      <c r="I55" s="11">
        <v>5</v>
      </c>
      <c r="J55" s="11">
        <v>3</v>
      </c>
      <c r="K55" s="32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54">
        <v>0</v>
      </c>
      <c r="R55" s="12">
        <v>0</v>
      </c>
      <c r="S55" s="58">
        <v>0</v>
      </c>
    </row>
    <row r="56" spans="1:19" ht="30" customHeight="1" x14ac:dyDescent="0.25">
      <c r="A56" s="140"/>
      <c r="B56" s="27" t="s">
        <v>32</v>
      </c>
      <c r="C56" s="9" t="s">
        <v>48</v>
      </c>
      <c r="D56" s="10">
        <v>15</v>
      </c>
      <c r="E56" s="11">
        <v>15</v>
      </c>
      <c r="F56" s="11">
        <v>14</v>
      </c>
      <c r="G56" s="11">
        <v>11</v>
      </c>
      <c r="H56" s="11">
        <v>11</v>
      </c>
      <c r="I56" s="11">
        <v>6</v>
      </c>
      <c r="J56" s="11">
        <v>2</v>
      </c>
      <c r="K56" s="32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54">
        <v>0</v>
      </c>
      <c r="R56" s="12">
        <v>0</v>
      </c>
      <c r="S56" s="58">
        <v>0</v>
      </c>
    </row>
    <row r="57" spans="1:19" ht="30" customHeight="1" x14ac:dyDescent="0.25">
      <c r="A57" s="140"/>
      <c r="B57" s="27" t="s">
        <v>35</v>
      </c>
      <c r="C57" s="9" t="s">
        <v>48</v>
      </c>
      <c r="D57" s="10">
        <v>16</v>
      </c>
      <c r="E57" s="11">
        <v>16</v>
      </c>
      <c r="F57" s="11">
        <v>12</v>
      </c>
      <c r="G57" s="11">
        <v>10</v>
      </c>
      <c r="H57" s="11">
        <v>10</v>
      </c>
      <c r="I57" s="11">
        <v>5</v>
      </c>
      <c r="J57" s="11">
        <v>5</v>
      </c>
      <c r="K57" s="11">
        <v>2</v>
      </c>
      <c r="L57" s="32">
        <v>0</v>
      </c>
      <c r="M57" s="11">
        <v>0</v>
      </c>
      <c r="N57" s="11">
        <v>0</v>
      </c>
      <c r="O57" s="11">
        <v>0</v>
      </c>
      <c r="P57" s="11">
        <v>0</v>
      </c>
      <c r="Q57" s="54">
        <v>0</v>
      </c>
      <c r="R57" s="12">
        <v>0</v>
      </c>
      <c r="S57" s="58">
        <v>0</v>
      </c>
    </row>
    <row r="58" spans="1:19" ht="30" customHeight="1" x14ac:dyDescent="0.25">
      <c r="A58" s="139" t="s">
        <v>37</v>
      </c>
      <c r="B58" s="27" t="s">
        <v>30</v>
      </c>
      <c r="C58" s="9" t="s">
        <v>49</v>
      </c>
      <c r="D58" s="10">
        <v>11</v>
      </c>
      <c r="E58" s="11">
        <v>11</v>
      </c>
      <c r="F58" s="11">
        <v>11</v>
      </c>
      <c r="G58" s="11">
        <v>7</v>
      </c>
      <c r="H58" s="11">
        <v>5</v>
      </c>
      <c r="I58" s="11">
        <v>4</v>
      </c>
      <c r="J58" s="11">
        <v>2</v>
      </c>
      <c r="K58" s="11">
        <v>0</v>
      </c>
      <c r="L58" s="32">
        <v>0</v>
      </c>
      <c r="M58" s="11">
        <v>0</v>
      </c>
      <c r="N58" s="11">
        <v>0</v>
      </c>
      <c r="O58" s="11">
        <v>0</v>
      </c>
      <c r="P58" s="11">
        <v>0</v>
      </c>
      <c r="Q58" s="54">
        <v>0</v>
      </c>
      <c r="R58" s="12">
        <v>0</v>
      </c>
      <c r="S58" s="58">
        <v>0</v>
      </c>
    </row>
    <row r="59" spans="1:19" ht="30" customHeight="1" x14ac:dyDescent="0.25">
      <c r="A59" s="140"/>
      <c r="B59" s="27" t="s">
        <v>31</v>
      </c>
      <c r="C59" s="9" t="s">
        <v>49</v>
      </c>
      <c r="D59" s="10">
        <v>18</v>
      </c>
      <c r="E59" s="11">
        <v>18</v>
      </c>
      <c r="F59" s="11">
        <v>18</v>
      </c>
      <c r="G59" s="11">
        <v>16</v>
      </c>
      <c r="H59" s="11">
        <v>15</v>
      </c>
      <c r="I59" s="11">
        <v>10</v>
      </c>
      <c r="J59" s="11">
        <v>7</v>
      </c>
      <c r="K59" s="11">
        <v>5</v>
      </c>
      <c r="L59" s="32">
        <v>0</v>
      </c>
      <c r="M59" s="11">
        <v>0</v>
      </c>
      <c r="N59" s="11">
        <v>0</v>
      </c>
      <c r="O59" s="11">
        <v>0</v>
      </c>
      <c r="P59" s="11">
        <v>0</v>
      </c>
      <c r="Q59" s="54">
        <v>0</v>
      </c>
      <c r="R59" s="12">
        <v>0</v>
      </c>
      <c r="S59" s="58">
        <v>0</v>
      </c>
    </row>
    <row r="60" spans="1:19" ht="30" customHeight="1" x14ac:dyDescent="0.25">
      <c r="A60" s="140"/>
      <c r="B60" s="27" t="s">
        <v>32</v>
      </c>
      <c r="C60" s="9" t="s">
        <v>51</v>
      </c>
      <c r="D60" s="10">
        <v>10</v>
      </c>
      <c r="E60" s="11">
        <v>10</v>
      </c>
      <c r="F60" s="11">
        <v>10</v>
      </c>
      <c r="G60" s="11">
        <v>7</v>
      </c>
      <c r="H60" s="11">
        <v>7</v>
      </c>
      <c r="I60" s="11">
        <v>5</v>
      </c>
      <c r="J60" s="11">
        <v>5</v>
      </c>
      <c r="K60" s="11">
        <v>3</v>
      </c>
      <c r="L60" s="11">
        <v>3</v>
      </c>
      <c r="M60" s="32">
        <v>0</v>
      </c>
      <c r="N60" s="11">
        <v>0</v>
      </c>
      <c r="O60" s="11">
        <v>0</v>
      </c>
      <c r="P60" s="11">
        <v>0</v>
      </c>
      <c r="Q60" s="54">
        <v>0</v>
      </c>
      <c r="R60" s="12">
        <v>0</v>
      </c>
      <c r="S60" s="58">
        <v>0</v>
      </c>
    </row>
    <row r="61" spans="1:19" ht="30" customHeight="1" x14ac:dyDescent="0.25">
      <c r="A61" s="140"/>
      <c r="B61" s="27" t="s">
        <v>35</v>
      </c>
      <c r="C61" s="9" t="s">
        <v>51</v>
      </c>
      <c r="D61" s="10">
        <v>12</v>
      </c>
      <c r="E61" s="11">
        <v>12</v>
      </c>
      <c r="F61" s="11">
        <v>12</v>
      </c>
      <c r="G61" s="11">
        <v>12</v>
      </c>
      <c r="H61" s="11">
        <v>10</v>
      </c>
      <c r="I61" s="11">
        <v>10</v>
      </c>
      <c r="J61" s="11">
        <v>8</v>
      </c>
      <c r="K61" s="11">
        <v>6</v>
      </c>
      <c r="L61" s="11">
        <v>6</v>
      </c>
      <c r="M61" s="32">
        <v>0</v>
      </c>
      <c r="N61" s="11">
        <v>0</v>
      </c>
      <c r="O61" s="11">
        <v>0</v>
      </c>
      <c r="P61" s="11">
        <v>0</v>
      </c>
      <c r="Q61" s="54">
        <v>0</v>
      </c>
      <c r="R61" s="12">
        <v>0</v>
      </c>
      <c r="S61" s="58">
        <v>0</v>
      </c>
    </row>
    <row r="62" spans="1:19" ht="30" customHeight="1" x14ac:dyDescent="0.25">
      <c r="A62" s="141"/>
      <c r="B62" s="27" t="s">
        <v>38</v>
      </c>
      <c r="C62" s="9" t="s">
        <v>33</v>
      </c>
      <c r="D62" s="10">
        <v>20</v>
      </c>
      <c r="E62" s="11">
        <v>20</v>
      </c>
      <c r="F62" s="11">
        <v>20</v>
      </c>
      <c r="G62" s="11">
        <v>18</v>
      </c>
      <c r="H62" s="11">
        <v>18</v>
      </c>
      <c r="I62" s="11">
        <v>15</v>
      </c>
      <c r="J62" s="11">
        <v>7</v>
      </c>
      <c r="K62" s="11">
        <v>2</v>
      </c>
      <c r="L62" s="35">
        <v>0</v>
      </c>
      <c r="M62" s="12">
        <v>0</v>
      </c>
      <c r="N62" s="11">
        <v>0</v>
      </c>
      <c r="O62" s="11">
        <v>0</v>
      </c>
      <c r="P62" s="11">
        <v>0</v>
      </c>
      <c r="Q62" s="54">
        <v>0</v>
      </c>
      <c r="R62" s="12">
        <v>0</v>
      </c>
      <c r="S62" s="58">
        <v>0</v>
      </c>
    </row>
    <row r="63" spans="1:19" ht="30" customHeight="1" x14ac:dyDescent="0.25">
      <c r="A63" s="139" t="s">
        <v>39</v>
      </c>
      <c r="B63" s="27" t="s">
        <v>30</v>
      </c>
      <c r="C63" s="9" t="s">
        <v>48</v>
      </c>
      <c r="D63" s="10">
        <v>23</v>
      </c>
      <c r="E63" s="11">
        <v>23</v>
      </c>
      <c r="F63" s="11">
        <v>23</v>
      </c>
      <c r="G63" s="11">
        <v>20</v>
      </c>
      <c r="H63" s="11">
        <v>15</v>
      </c>
      <c r="I63" s="11">
        <v>13</v>
      </c>
      <c r="J63" s="11">
        <v>13</v>
      </c>
      <c r="K63" s="11">
        <v>8</v>
      </c>
      <c r="L63" s="11">
        <v>5</v>
      </c>
      <c r="M63" s="32">
        <v>0</v>
      </c>
      <c r="N63" s="11">
        <v>0</v>
      </c>
      <c r="O63" s="11">
        <v>0</v>
      </c>
      <c r="P63" s="11">
        <v>0</v>
      </c>
      <c r="Q63" s="54">
        <v>0</v>
      </c>
      <c r="R63" s="12">
        <v>0</v>
      </c>
      <c r="S63" s="58">
        <v>0</v>
      </c>
    </row>
    <row r="64" spans="1:19" ht="30" customHeight="1" x14ac:dyDescent="0.25">
      <c r="A64" s="140"/>
      <c r="B64" s="27" t="s">
        <v>31</v>
      </c>
      <c r="C64" s="9" t="s">
        <v>62</v>
      </c>
      <c r="D64" s="10">
        <v>20</v>
      </c>
      <c r="E64" s="11">
        <v>20</v>
      </c>
      <c r="F64" s="11">
        <v>20</v>
      </c>
      <c r="G64" s="11">
        <v>15</v>
      </c>
      <c r="H64" s="11">
        <v>15</v>
      </c>
      <c r="I64" s="11">
        <v>15</v>
      </c>
      <c r="J64" s="11">
        <v>10</v>
      </c>
      <c r="K64" s="11">
        <v>10</v>
      </c>
      <c r="L64" s="11">
        <v>5</v>
      </c>
      <c r="M64" s="12">
        <v>5</v>
      </c>
      <c r="N64" s="33">
        <v>0</v>
      </c>
      <c r="O64" s="11">
        <v>0</v>
      </c>
      <c r="P64" s="11">
        <v>0</v>
      </c>
      <c r="Q64" s="54">
        <v>0</v>
      </c>
      <c r="R64" s="12">
        <v>0</v>
      </c>
      <c r="S64" s="58">
        <v>0</v>
      </c>
    </row>
    <row r="65" spans="1:19" ht="30" customHeight="1" x14ac:dyDescent="0.25">
      <c r="A65" s="140"/>
      <c r="B65" s="27" t="s">
        <v>32</v>
      </c>
      <c r="C65" s="9" t="s">
        <v>62</v>
      </c>
      <c r="D65" s="10">
        <v>20</v>
      </c>
      <c r="E65" s="11">
        <v>20</v>
      </c>
      <c r="F65" s="11">
        <v>16</v>
      </c>
      <c r="G65" s="11">
        <v>16</v>
      </c>
      <c r="H65" s="11">
        <v>15</v>
      </c>
      <c r="I65" s="11">
        <v>15</v>
      </c>
      <c r="J65" s="11">
        <v>11</v>
      </c>
      <c r="K65" s="11">
        <v>8</v>
      </c>
      <c r="L65" s="11">
        <v>8</v>
      </c>
      <c r="M65" s="11">
        <v>4</v>
      </c>
      <c r="N65" s="32">
        <v>0</v>
      </c>
      <c r="O65" s="11">
        <v>0</v>
      </c>
      <c r="P65" s="11">
        <v>0</v>
      </c>
      <c r="Q65" s="54">
        <v>0</v>
      </c>
      <c r="R65" s="12">
        <v>0</v>
      </c>
      <c r="S65" s="58">
        <v>0</v>
      </c>
    </row>
    <row r="66" spans="1:19" ht="30" customHeight="1" x14ac:dyDescent="0.25">
      <c r="A66" s="140"/>
      <c r="B66" s="27" t="s">
        <v>35</v>
      </c>
      <c r="C66" s="9" t="s">
        <v>50</v>
      </c>
      <c r="D66" s="10">
        <v>21</v>
      </c>
      <c r="E66" s="11">
        <v>21</v>
      </c>
      <c r="F66" s="11">
        <v>21</v>
      </c>
      <c r="G66" s="11">
        <v>20</v>
      </c>
      <c r="H66" s="11">
        <v>20</v>
      </c>
      <c r="I66" s="11">
        <v>18</v>
      </c>
      <c r="J66" s="11">
        <v>17</v>
      </c>
      <c r="K66" s="11">
        <v>14</v>
      </c>
      <c r="L66" s="11">
        <v>10</v>
      </c>
      <c r="M66" s="11">
        <v>10</v>
      </c>
      <c r="N66" s="11">
        <v>5</v>
      </c>
      <c r="O66" s="32">
        <v>0</v>
      </c>
      <c r="P66" s="11">
        <v>0</v>
      </c>
      <c r="Q66" s="54">
        <v>0</v>
      </c>
      <c r="R66" s="12">
        <v>0</v>
      </c>
      <c r="S66" s="58">
        <v>0</v>
      </c>
    </row>
    <row r="67" spans="1:19" ht="30" customHeight="1" x14ac:dyDescent="0.25">
      <c r="A67" s="141"/>
      <c r="B67" s="27" t="s">
        <v>46</v>
      </c>
      <c r="C67" s="9" t="s">
        <v>33</v>
      </c>
      <c r="D67" s="10">
        <v>25</v>
      </c>
      <c r="E67" s="11">
        <v>22</v>
      </c>
      <c r="F67" s="11">
        <v>22</v>
      </c>
      <c r="G67" s="11">
        <v>20</v>
      </c>
      <c r="H67" s="11">
        <v>20</v>
      </c>
      <c r="I67" s="11">
        <v>17</v>
      </c>
      <c r="J67" s="11">
        <v>17</v>
      </c>
      <c r="K67" s="11">
        <v>13</v>
      </c>
      <c r="L67" s="11">
        <v>10</v>
      </c>
      <c r="M67" s="11">
        <v>8</v>
      </c>
      <c r="N67" s="11">
        <v>5</v>
      </c>
      <c r="O67" s="32">
        <v>0</v>
      </c>
      <c r="P67" s="11">
        <v>0</v>
      </c>
      <c r="Q67" s="54">
        <v>0</v>
      </c>
      <c r="R67" s="12">
        <v>0</v>
      </c>
      <c r="S67" s="58">
        <v>0</v>
      </c>
    </row>
    <row r="68" spans="1:19" ht="30" customHeight="1" x14ac:dyDescent="0.25">
      <c r="A68" s="139" t="s">
        <v>40</v>
      </c>
      <c r="B68" s="27" t="s">
        <v>30</v>
      </c>
      <c r="C68" s="9" t="s">
        <v>47</v>
      </c>
      <c r="D68" s="10">
        <v>16</v>
      </c>
      <c r="E68" s="11">
        <v>16</v>
      </c>
      <c r="F68" s="11">
        <v>16</v>
      </c>
      <c r="G68" s="11">
        <v>16</v>
      </c>
      <c r="H68" s="11">
        <v>15</v>
      </c>
      <c r="I68" s="11">
        <v>15</v>
      </c>
      <c r="J68" s="11">
        <v>14</v>
      </c>
      <c r="K68" s="11">
        <v>10</v>
      </c>
      <c r="L68" s="11">
        <v>8</v>
      </c>
      <c r="M68" s="11">
        <v>8</v>
      </c>
      <c r="N68" s="11">
        <v>3</v>
      </c>
      <c r="O68" s="32">
        <v>0</v>
      </c>
      <c r="P68" s="11">
        <v>0</v>
      </c>
      <c r="Q68" s="54">
        <v>0</v>
      </c>
      <c r="R68" s="12">
        <v>0</v>
      </c>
      <c r="S68" s="58">
        <v>0</v>
      </c>
    </row>
    <row r="69" spans="1:19" ht="30" customHeight="1" x14ac:dyDescent="0.25">
      <c r="A69" s="140"/>
      <c r="B69" s="27" t="s">
        <v>31</v>
      </c>
      <c r="C69" s="9" t="s">
        <v>47</v>
      </c>
      <c r="D69" s="10">
        <v>15</v>
      </c>
      <c r="E69" s="11">
        <v>15</v>
      </c>
      <c r="F69" s="11">
        <v>15</v>
      </c>
      <c r="G69" s="11">
        <v>14</v>
      </c>
      <c r="H69" s="11">
        <v>14</v>
      </c>
      <c r="I69" s="11">
        <v>12</v>
      </c>
      <c r="J69" s="11">
        <v>12</v>
      </c>
      <c r="K69" s="11">
        <v>10</v>
      </c>
      <c r="L69" s="11">
        <v>8</v>
      </c>
      <c r="M69" s="11">
        <v>7</v>
      </c>
      <c r="N69" s="11">
        <v>2</v>
      </c>
      <c r="O69" s="32">
        <v>0</v>
      </c>
      <c r="P69" s="11">
        <v>0</v>
      </c>
      <c r="Q69" s="54">
        <v>0</v>
      </c>
      <c r="R69" s="12">
        <v>0</v>
      </c>
      <c r="S69" s="58">
        <v>0</v>
      </c>
    </row>
    <row r="70" spans="1:19" ht="30" customHeight="1" x14ac:dyDescent="0.25">
      <c r="A70" s="140"/>
      <c r="B70" s="27" t="s">
        <v>32</v>
      </c>
      <c r="C70" s="9" t="s">
        <v>49</v>
      </c>
      <c r="D70" s="10">
        <v>15</v>
      </c>
      <c r="E70" s="11">
        <v>14</v>
      </c>
      <c r="F70" s="11">
        <v>14</v>
      </c>
      <c r="G70" s="11">
        <v>12</v>
      </c>
      <c r="H70" s="11">
        <v>12</v>
      </c>
      <c r="I70" s="11">
        <v>10</v>
      </c>
      <c r="J70" s="11">
        <v>9</v>
      </c>
      <c r="K70" s="11">
        <v>9</v>
      </c>
      <c r="L70" s="11">
        <v>7</v>
      </c>
      <c r="M70" s="11">
        <v>3</v>
      </c>
      <c r="N70" s="12">
        <v>3</v>
      </c>
      <c r="O70" s="33">
        <v>0</v>
      </c>
      <c r="P70" s="12">
        <v>0</v>
      </c>
      <c r="Q70" s="54">
        <v>0</v>
      </c>
      <c r="R70" s="12">
        <v>0</v>
      </c>
      <c r="S70" s="58">
        <v>0</v>
      </c>
    </row>
    <row r="71" spans="1:19" ht="30" customHeight="1" x14ac:dyDescent="0.25">
      <c r="A71" s="140"/>
      <c r="B71" s="27" t="s">
        <v>35</v>
      </c>
      <c r="C71" s="9" t="s">
        <v>48</v>
      </c>
      <c r="D71" s="10">
        <v>16</v>
      </c>
      <c r="E71" s="11">
        <v>12</v>
      </c>
      <c r="F71" s="11">
        <v>11</v>
      </c>
      <c r="G71" s="11">
        <v>10</v>
      </c>
      <c r="H71" s="11">
        <v>9</v>
      </c>
      <c r="I71" s="11">
        <v>9</v>
      </c>
      <c r="J71" s="11">
        <v>8</v>
      </c>
      <c r="K71" s="11">
        <v>7</v>
      </c>
      <c r="L71" s="11">
        <v>6</v>
      </c>
      <c r="M71" s="11">
        <v>5</v>
      </c>
      <c r="N71" s="32">
        <v>0</v>
      </c>
      <c r="O71" s="11">
        <v>0</v>
      </c>
      <c r="P71" s="12">
        <v>0</v>
      </c>
      <c r="Q71" s="54">
        <v>0</v>
      </c>
      <c r="R71" s="12">
        <v>0</v>
      </c>
      <c r="S71" s="58">
        <v>0</v>
      </c>
    </row>
    <row r="72" spans="1:19" ht="30" customHeight="1" x14ac:dyDescent="0.25">
      <c r="A72" s="139" t="s">
        <v>41</v>
      </c>
      <c r="B72" s="27" t="s">
        <v>30</v>
      </c>
      <c r="C72" s="9" t="s">
        <v>51</v>
      </c>
      <c r="D72" s="10">
        <v>14</v>
      </c>
      <c r="E72" s="11">
        <v>14</v>
      </c>
      <c r="F72" s="11">
        <v>14</v>
      </c>
      <c r="G72" s="11">
        <v>14</v>
      </c>
      <c r="H72" s="11">
        <v>10</v>
      </c>
      <c r="I72" s="11">
        <v>10</v>
      </c>
      <c r="J72" s="11">
        <v>8</v>
      </c>
      <c r="K72" s="11">
        <v>8</v>
      </c>
      <c r="L72" s="11">
        <v>6</v>
      </c>
      <c r="M72" s="11">
        <v>4</v>
      </c>
      <c r="N72" s="32">
        <v>0</v>
      </c>
      <c r="O72" s="11">
        <v>0</v>
      </c>
      <c r="P72" s="12">
        <v>0</v>
      </c>
      <c r="Q72" s="54">
        <v>0</v>
      </c>
      <c r="R72" s="12">
        <v>0</v>
      </c>
      <c r="S72" s="58">
        <v>0</v>
      </c>
    </row>
    <row r="73" spans="1:19" ht="30" customHeight="1" x14ac:dyDescent="0.25">
      <c r="A73" s="140"/>
      <c r="B73" s="27" t="s">
        <v>31</v>
      </c>
      <c r="C73" s="9" t="s">
        <v>53</v>
      </c>
      <c r="D73" s="10">
        <v>21</v>
      </c>
      <c r="E73" s="11">
        <v>21</v>
      </c>
      <c r="F73" s="11">
        <v>21</v>
      </c>
      <c r="G73" s="11">
        <v>21</v>
      </c>
      <c r="H73" s="11">
        <v>18</v>
      </c>
      <c r="I73" s="11">
        <v>15</v>
      </c>
      <c r="J73" s="11">
        <v>15</v>
      </c>
      <c r="K73" s="11">
        <v>10</v>
      </c>
      <c r="L73" s="11">
        <v>7</v>
      </c>
      <c r="M73" s="11">
        <v>3</v>
      </c>
      <c r="N73" s="32">
        <v>0</v>
      </c>
      <c r="O73" s="11">
        <v>0</v>
      </c>
      <c r="P73" s="12">
        <v>0</v>
      </c>
      <c r="Q73" s="54">
        <v>0</v>
      </c>
      <c r="R73" s="12">
        <v>0</v>
      </c>
      <c r="S73" s="58">
        <v>0</v>
      </c>
    </row>
    <row r="74" spans="1:19" ht="30" customHeight="1" x14ac:dyDescent="0.25">
      <c r="A74" s="140"/>
      <c r="B74" s="27" t="s">
        <v>32</v>
      </c>
      <c r="C74" s="9" t="s">
        <v>53</v>
      </c>
      <c r="D74" s="10">
        <v>21</v>
      </c>
      <c r="E74" s="11">
        <v>21</v>
      </c>
      <c r="F74" s="11">
        <v>21</v>
      </c>
      <c r="G74" s="11">
        <v>19</v>
      </c>
      <c r="H74" s="11">
        <v>19</v>
      </c>
      <c r="I74" s="11">
        <v>15</v>
      </c>
      <c r="J74" s="11">
        <v>13</v>
      </c>
      <c r="K74" s="11">
        <v>13</v>
      </c>
      <c r="L74" s="11">
        <v>13</v>
      </c>
      <c r="M74" s="11">
        <v>10</v>
      </c>
      <c r="N74" s="11">
        <v>7</v>
      </c>
      <c r="O74" s="11">
        <v>7</v>
      </c>
      <c r="P74" s="11">
        <v>5</v>
      </c>
      <c r="Q74" s="54">
        <v>5</v>
      </c>
      <c r="R74" s="32">
        <v>0</v>
      </c>
      <c r="S74" s="58">
        <v>0</v>
      </c>
    </row>
    <row r="75" spans="1:19" ht="30" customHeight="1" x14ac:dyDescent="0.25">
      <c r="A75" s="140"/>
      <c r="B75" s="27" t="s">
        <v>35</v>
      </c>
      <c r="C75" s="9" t="s">
        <v>51</v>
      </c>
      <c r="D75" s="10">
        <v>25</v>
      </c>
      <c r="E75" s="11">
        <v>25</v>
      </c>
      <c r="F75" s="11">
        <v>25</v>
      </c>
      <c r="G75" s="11">
        <v>20</v>
      </c>
      <c r="H75" s="11">
        <v>20</v>
      </c>
      <c r="I75" s="11">
        <v>18</v>
      </c>
      <c r="J75" s="11">
        <v>18</v>
      </c>
      <c r="K75" s="11">
        <v>14</v>
      </c>
      <c r="L75" s="11">
        <v>14</v>
      </c>
      <c r="M75" s="11">
        <v>10</v>
      </c>
      <c r="N75" s="11">
        <v>8</v>
      </c>
      <c r="O75" s="11">
        <v>6</v>
      </c>
      <c r="P75" s="11">
        <v>6</v>
      </c>
      <c r="Q75" s="54">
        <v>4</v>
      </c>
      <c r="R75" s="32">
        <v>0</v>
      </c>
      <c r="S75" s="58">
        <v>0</v>
      </c>
    </row>
    <row r="76" spans="1:19" ht="30" customHeight="1" x14ac:dyDescent="0.25">
      <c r="A76" s="139" t="s">
        <v>42</v>
      </c>
      <c r="B76" s="27" t="s">
        <v>30</v>
      </c>
      <c r="C76" s="9" t="s">
        <v>54</v>
      </c>
      <c r="D76" s="10">
        <v>25</v>
      </c>
      <c r="E76" s="11">
        <v>11</v>
      </c>
      <c r="F76" s="11">
        <v>10</v>
      </c>
      <c r="G76" s="11">
        <v>9</v>
      </c>
      <c r="H76" s="11">
        <v>9</v>
      </c>
      <c r="I76" s="11">
        <v>8</v>
      </c>
      <c r="J76" s="11">
        <v>7</v>
      </c>
      <c r="K76" s="11">
        <v>6</v>
      </c>
      <c r="L76" s="11">
        <v>6</v>
      </c>
      <c r="M76" s="11">
        <v>5</v>
      </c>
      <c r="N76" s="11">
        <v>4</v>
      </c>
      <c r="O76" s="11">
        <v>3</v>
      </c>
      <c r="P76" s="11">
        <v>2</v>
      </c>
      <c r="Q76" s="54">
        <v>2</v>
      </c>
      <c r="R76" s="32">
        <v>0</v>
      </c>
      <c r="S76" s="58">
        <v>0</v>
      </c>
    </row>
    <row r="77" spans="1:19" ht="30" customHeight="1" x14ac:dyDescent="0.25">
      <c r="A77" s="140"/>
      <c r="B77" s="27" t="s">
        <v>31</v>
      </c>
      <c r="C77" s="9" t="s">
        <v>54</v>
      </c>
      <c r="D77" s="10">
        <v>16</v>
      </c>
      <c r="E77" s="11">
        <v>16</v>
      </c>
      <c r="F77" s="11">
        <v>16</v>
      </c>
      <c r="G77" s="11">
        <v>16</v>
      </c>
      <c r="H77" s="11">
        <v>14</v>
      </c>
      <c r="I77" s="11">
        <v>11</v>
      </c>
      <c r="J77" s="11">
        <v>10</v>
      </c>
      <c r="K77" s="11">
        <v>7</v>
      </c>
      <c r="L77" s="11">
        <v>7</v>
      </c>
      <c r="M77" s="11">
        <v>6</v>
      </c>
      <c r="N77" s="11">
        <v>6</v>
      </c>
      <c r="O77" s="11">
        <v>5</v>
      </c>
      <c r="P77" s="11">
        <v>4</v>
      </c>
      <c r="Q77" s="54">
        <v>4</v>
      </c>
      <c r="R77" s="32">
        <v>0</v>
      </c>
      <c r="S77" s="58">
        <v>0</v>
      </c>
    </row>
    <row r="78" spans="1:19" ht="30" customHeight="1" x14ac:dyDescent="0.25">
      <c r="A78" s="140"/>
      <c r="B78" s="27" t="s">
        <v>32</v>
      </c>
      <c r="C78" s="9" t="s">
        <v>47</v>
      </c>
      <c r="D78" s="10">
        <v>16</v>
      </c>
      <c r="E78" s="11">
        <v>16</v>
      </c>
      <c r="F78" s="11">
        <v>16</v>
      </c>
      <c r="G78" s="11">
        <v>16</v>
      </c>
      <c r="H78" s="11">
        <v>13</v>
      </c>
      <c r="I78" s="11">
        <v>13</v>
      </c>
      <c r="J78" s="11">
        <v>10</v>
      </c>
      <c r="K78" s="11">
        <v>9</v>
      </c>
      <c r="L78" s="11">
        <v>9</v>
      </c>
      <c r="M78" s="11">
        <v>8</v>
      </c>
      <c r="N78" s="11">
        <v>8</v>
      </c>
      <c r="O78" s="11">
        <v>7</v>
      </c>
      <c r="P78" s="11">
        <v>7</v>
      </c>
      <c r="Q78" s="54">
        <v>5</v>
      </c>
      <c r="R78" s="12">
        <v>5</v>
      </c>
      <c r="S78" s="59">
        <v>0</v>
      </c>
    </row>
    <row r="79" spans="1:19" ht="30" customHeight="1" thickBot="1" x14ac:dyDescent="0.3">
      <c r="A79" s="140"/>
      <c r="B79" s="27" t="s">
        <v>35</v>
      </c>
      <c r="C79" s="9" t="s">
        <v>47</v>
      </c>
      <c r="D79" s="10">
        <v>14</v>
      </c>
      <c r="E79" s="11">
        <v>14</v>
      </c>
      <c r="F79" s="11">
        <v>14</v>
      </c>
      <c r="G79" s="11">
        <v>12</v>
      </c>
      <c r="H79" s="11">
        <v>12</v>
      </c>
      <c r="I79" s="11">
        <v>10</v>
      </c>
      <c r="J79" s="11">
        <v>11</v>
      </c>
      <c r="K79" s="11">
        <v>11</v>
      </c>
      <c r="L79" s="11">
        <v>11</v>
      </c>
      <c r="M79" s="11">
        <v>9</v>
      </c>
      <c r="N79" s="11">
        <v>9</v>
      </c>
      <c r="O79" s="11">
        <v>8</v>
      </c>
      <c r="P79" s="11">
        <v>6</v>
      </c>
      <c r="Q79" s="54">
        <v>6</v>
      </c>
      <c r="R79" s="12">
        <v>4</v>
      </c>
      <c r="S79" s="59">
        <v>0</v>
      </c>
    </row>
    <row r="80" spans="1:19" ht="30" customHeight="1" x14ac:dyDescent="0.25">
      <c r="A80" s="14" t="s">
        <v>43</v>
      </c>
      <c r="B80" s="28" t="s">
        <v>55</v>
      </c>
      <c r="C80" s="8" t="s">
        <v>33</v>
      </c>
      <c r="D80" s="10">
        <v>15</v>
      </c>
      <c r="E80" s="11">
        <v>15</v>
      </c>
      <c r="F80" s="11">
        <v>15</v>
      </c>
      <c r="G80" s="11">
        <v>15</v>
      </c>
      <c r="H80" s="11">
        <v>13</v>
      </c>
      <c r="I80" s="11">
        <v>13</v>
      </c>
      <c r="J80" s="11">
        <v>10</v>
      </c>
      <c r="K80" s="11">
        <v>10</v>
      </c>
      <c r="L80" s="11">
        <v>8</v>
      </c>
      <c r="M80" s="11">
        <v>8</v>
      </c>
      <c r="N80" s="11">
        <v>7</v>
      </c>
      <c r="O80" s="11">
        <v>7</v>
      </c>
      <c r="P80" s="11">
        <v>6</v>
      </c>
      <c r="Q80" s="54">
        <v>6</v>
      </c>
      <c r="R80" s="12">
        <v>5</v>
      </c>
      <c r="S80" s="59">
        <v>0</v>
      </c>
    </row>
    <row r="81" spans="1:19" ht="30" customHeight="1" thickBot="1" x14ac:dyDescent="0.3">
      <c r="A81" s="13"/>
      <c r="B81" s="29" t="s">
        <v>56</v>
      </c>
      <c r="C81" s="15" t="s">
        <v>33</v>
      </c>
      <c r="D81" s="16">
        <v>20</v>
      </c>
      <c r="E81" s="17">
        <v>20</v>
      </c>
      <c r="F81" s="17">
        <v>20</v>
      </c>
      <c r="G81" s="17">
        <v>20</v>
      </c>
      <c r="H81" s="17">
        <v>18</v>
      </c>
      <c r="I81" s="17">
        <v>18</v>
      </c>
      <c r="J81" s="17">
        <v>15</v>
      </c>
      <c r="K81" s="17">
        <v>15</v>
      </c>
      <c r="L81" s="17">
        <v>13</v>
      </c>
      <c r="M81" s="17">
        <v>11</v>
      </c>
      <c r="N81" s="17">
        <v>11</v>
      </c>
      <c r="O81" s="17">
        <v>8</v>
      </c>
      <c r="P81" s="17">
        <v>7</v>
      </c>
      <c r="Q81" s="55">
        <v>6</v>
      </c>
      <c r="R81" s="18">
        <v>6</v>
      </c>
      <c r="S81" s="60">
        <v>0</v>
      </c>
    </row>
    <row r="82" spans="1:19" ht="30" customHeight="1" thickBot="1" x14ac:dyDescent="0.25">
      <c r="A82" s="143" t="s">
        <v>57</v>
      </c>
      <c r="B82" s="144"/>
      <c r="C82" s="145"/>
      <c r="D82" s="19">
        <f>SUM(D52:D81)</f>
        <v>518</v>
      </c>
      <c r="E82" s="19">
        <f t="shared" ref="E82:R82" si="1" xml:space="preserve"> SUM(E52:E81)</f>
        <v>488</v>
      </c>
      <c r="F82" s="19">
        <f t="shared" si="1"/>
        <v>467</v>
      </c>
      <c r="G82" s="19">
        <f t="shared" si="1"/>
        <v>421</v>
      </c>
      <c r="H82" s="19">
        <f t="shared" si="1"/>
        <v>379</v>
      </c>
      <c r="I82" s="19">
        <f t="shared" si="1"/>
        <v>321</v>
      </c>
      <c r="J82" s="19">
        <f t="shared" si="1"/>
        <v>267</v>
      </c>
      <c r="K82" s="19">
        <f t="shared" si="1"/>
        <v>210</v>
      </c>
      <c r="L82" s="19">
        <f t="shared" si="1"/>
        <v>170</v>
      </c>
      <c r="M82" s="19">
        <f t="shared" si="1"/>
        <v>124</v>
      </c>
      <c r="N82" s="19">
        <f t="shared" si="1"/>
        <v>78</v>
      </c>
      <c r="O82" s="19">
        <f t="shared" si="1"/>
        <v>51</v>
      </c>
      <c r="P82" s="19">
        <f t="shared" si="1"/>
        <v>43</v>
      </c>
      <c r="Q82" s="56">
        <f t="shared" si="1"/>
        <v>38</v>
      </c>
      <c r="R82" s="57">
        <f t="shared" si="1"/>
        <v>20</v>
      </c>
      <c r="S82" s="61">
        <f>SUM(S52:S81)</f>
        <v>0</v>
      </c>
    </row>
    <row r="83" spans="1:19" ht="14.25" customHeight="1" x14ac:dyDescent="0.2"/>
    <row r="84" spans="1:19" ht="14.25" customHeight="1" x14ac:dyDescent="0.2"/>
    <row r="85" spans="1:19" ht="14.25" customHeight="1" x14ac:dyDescent="0.2"/>
    <row r="86" spans="1:19" ht="14.25" customHeight="1" x14ac:dyDescent="0.2"/>
    <row r="87" spans="1:19" ht="30" customHeight="1" thickBot="1" x14ac:dyDescent="0.25">
      <c r="A87" s="142" t="s">
        <v>63</v>
      </c>
      <c r="B87" s="142"/>
      <c r="C87" s="142"/>
      <c r="D87" s="142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</row>
    <row r="88" spans="1:19" ht="30" customHeight="1" thickBot="1" x14ac:dyDescent="0.25">
      <c r="A88" s="62" t="s">
        <v>19</v>
      </c>
      <c r="B88" s="113">
        <v>45978</v>
      </c>
      <c r="C88" s="113">
        <v>45979</v>
      </c>
      <c r="D88" s="113">
        <v>45980</v>
      </c>
      <c r="E88" s="113">
        <v>45981</v>
      </c>
      <c r="F88" s="113">
        <v>45982</v>
      </c>
      <c r="G88" s="113">
        <v>45983</v>
      </c>
      <c r="H88" s="113">
        <v>45984</v>
      </c>
      <c r="I88" s="113">
        <v>45985</v>
      </c>
      <c r="J88" s="113">
        <v>45986</v>
      </c>
      <c r="K88" s="113">
        <v>45987</v>
      </c>
      <c r="L88" s="113">
        <v>45988</v>
      </c>
      <c r="M88" s="113">
        <v>45989</v>
      </c>
      <c r="N88" s="113">
        <v>45990</v>
      </c>
      <c r="O88" s="113">
        <v>45991</v>
      </c>
      <c r="P88" s="113">
        <v>45992</v>
      </c>
    </row>
    <row r="89" spans="1:19" ht="30" customHeight="1" x14ac:dyDescent="0.2">
      <c r="A89" s="63" t="s">
        <v>20</v>
      </c>
      <c r="B89" s="64">
        <v>380</v>
      </c>
      <c r="C89" s="64">
        <v>348</v>
      </c>
      <c r="D89" s="64">
        <v>312</v>
      </c>
      <c r="E89" s="64">
        <v>286</v>
      </c>
      <c r="F89" s="64">
        <v>245</v>
      </c>
      <c r="G89" s="64">
        <v>211</v>
      </c>
      <c r="H89" s="64">
        <v>166</v>
      </c>
      <c r="I89" s="64">
        <v>140</v>
      </c>
      <c r="J89" s="64">
        <v>95</v>
      </c>
      <c r="K89" s="64">
        <v>52</v>
      </c>
      <c r="L89" s="64">
        <v>33</v>
      </c>
      <c r="M89" s="64">
        <v>28</v>
      </c>
      <c r="N89" s="64">
        <v>24</v>
      </c>
      <c r="O89" s="64">
        <v>16</v>
      </c>
      <c r="P89" s="64">
        <v>0</v>
      </c>
    </row>
    <row r="90" spans="1:19" ht="30" customHeight="1" x14ac:dyDescent="0.2">
      <c r="A90" s="63" t="s">
        <v>18</v>
      </c>
      <c r="B90" s="65">
        <v>488</v>
      </c>
      <c r="C90" s="65">
        <v>467</v>
      </c>
      <c r="D90" s="65">
        <v>421</v>
      </c>
      <c r="E90" s="65">
        <v>379</v>
      </c>
      <c r="F90" s="65">
        <v>321</v>
      </c>
      <c r="G90" s="65">
        <v>267</v>
      </c>
      <c r="H90" s="65">
        <v>210</v>
      </c>
      <c r="I90" s="65">
        <v>170</v>
      </c>
      <c r="J90" s="65">
        <v>124</v>
      </c>
      <c r="K90" s="65">
        <v>78</v>
      </c>
      <c r="L90" s="65">
        <v>51</v>
      </c>
      <c r="M90" s="65">
        <v>43</v>
      </c>
      <c r="N90" s="65">
        <v>38</v>
      </c>
      <c r="O90" s="65">
        <v>20</v>
      </c>
      <c r="P90" s="65">
        <v>0</v>
      </c>
    </row>
    <row r="91" spans="1:19" ht="14.25" customHeight="1" x14ac:dyDescent="0.2"/>
    <row r="92" spans="1:19" ht="14.25" customHeight="1" x14ac:dyDescent="0.2"/>
    <row r="93" spans="1:19" ht="14.25" customHeight="1" x14ac:dyDescent="0.2"/>
    <row r="94" spans="1:19" ht="14.25" customHeight="1" x14ac:dyDescent="0.2"/>
    <row r="95" spans="1:19" ht="14.25" customHeight="1" x14ac:dyDescent="0.2"/>
    <row r="96" spans="1:19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</sheetData>
  <mergeCells count="25">
    <mergeCell ref="A87:P87"/>
    <mergeCell ref="A72:A75"/>
    <mergeCell ref="A76:A79"/>
    <mergeCell ref="A82:C82"/>
    <mergeCell ref="F12:G12"/>
    <mergeCell ref="F13:G13"/>
    <mergeCell ref="A52:A53"/>
    <mergeCell ref="A54:A57"/>
    <mergeCell ref="A58:A62"/>
    <mergeCell ref="A63:A67"/>
    <mergeCell ref="A68:A71"/>
    <mergeCell ref="A46:C46"/>
    <mergeCell ref="A49:C49"/>
    <mergeCell ref="A22:A26"/>
    <mergeCell ref="A27:A31"/>
    <mergeCell ref="A32:A35"/>
    <mergeCell ref="B1:C1"/>
    <mergeCell ref="B7:C7"/>
    <mergeCell ref="F9:G9"/>
    <mergeCell ref="A36:A39"/>
    <mergeCell ref="A40:A43"/>
    <mergeCell ref="A16:A17"/>
    <mergeCell ref="A18:A21"/>
    <mergeCell ref="F10:G10"/>
    <mergeCell ref="F11:G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Sprint2</vt:lpstr>
      <vt:lpstr>Sprint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Phạm Minh Tuấn</cp:lastModifiedBy>
  <dcterms:created xsi:type="dcterms:W3CDTF">2025-11-24T14:36:38Z</dcterms:created>
  <dcterms:modified xsi:type="dcterms:W3CDTF">2025-12-17T10:44:21Z</dcterms:modified>
</cp:coreProperties>
</file>